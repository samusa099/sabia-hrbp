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494b02aa0a4709" /></Relationships>
</file>

<file path=xl/workbook.xml><?xml version="1.0" encoding="utf-8"?>
<x:workbook xmlns:x="http://schemas.openxmlformats.org/spreadsheetml/2006/main">
  <x:sheets>
    <x:sheet xmlns:r="http://schemas.openxmlformats.org/officeDocument/2006/relationships" name="Executive Dashboard" sheetId="1" r:id="R919a864b45df4523"/>
    <x:sheet xmlns:r="http://schemas.openxmlformats.org/officeDocument/2006/relationships" name="Project Story" sheetId="2" r:id="R0084746122534749"/>
    <x:sheet xmlns:r="http://schemas.openxmlformats.org/officeDocument/2006/relationships" name="HR Framework" sheetId="3" r:id="Rbc89c8a3b34c48e2"/>
    <x:sheet xmlns:r="http://schemas.openxmlformats.org/officeDocument/2006/relationships" name="Quarterly Roadmap" sheetId="4" r:id="Rf19ce93187734463"/>
    <x:sheet xmlns:r="http://schemas.openxmlformats.org/officeDocument/2006/relationships" name="KPI Scorecard" sheetId="5" r:id="R26eed1e3c2274271"/>
    <x:sheet xmlns:r="http://schemas.openxmlformats.org/officeDocument/2006/relationships" name="Pillar Maturity" sheetId="6" r:id="R372b6d0119b34a01"/>
    <x:sheet xmlns:r="http://schemas.openxmlformats.org/officeDocument/2006/relationships" name="Employee Master" sheetId="7" r:id="Rc9115fcd885d490e"/>
    <x:sheet xmlns:r="http://schemas.openxmlformats.org/officeDocument/2006/relationships" name="Workforce Reset" sheetId="8" r:id="R4075b1fa543f42b8"/>
    <x:sheet xmlns:r="http://schemas.openxmlformats.org/officeDocument/2006/relationships" name="Recruitment" sheetId="9" r:id="R8361d0daa12549b5"/>
    <x:sheet xmlns:r="http://schemas.openxmlformats.org/officeDocument/2006/relationships" name="Training" sheetId="10" r:id="R6de6ff20db0b43c1"/>
    <x:sheet xmlns:r="http://schemas.openxmlformats.org/officeDocument/2006/relationships" name="Performance" sheetId="11" r:id="R6bf93a685b20465d"/>
    <x:sheet xmlns:r="http://schemas.openxmlformats.org/officeDocument/2006/relationships" name="Attendance" sheetId="12" r:id="R6001104151044e25"/>
    <x:sheet xmlns:r="http://schemas.openxmlformats.org/officeDocument/2006/relationships" name="Production" sheetId="13" r:id="Ra229089d7bc94f37"/>
    <x:sheet xmlns:r="http://schemas.openxmlformats.org/officeDocument/2006/relationships" name="Financial Impact" sheetId="14" r:id="R327e0889c3964002"/>
    <x:sheet xmlns:r="http://schemas.openxmlformats.org/officeDocument/2006/relationships" name="Pilot Test" sheetId="15" r:id="Ree9ccdc63135466b"/>
    <x:sheet xmlns:r="http://schemas.openxmlformats.org/officeDocument/2006/relationships" name="HR Services" sheetId="16" r:id="Rd7f405b1d3c84ed4"/>
    <x:sheet xmlns:r="http://schemas.openxmlformats.org/officeDocument/2006/relationships" name="ER Cases" sheetId="17" r:id="R50ae5d916e8349cc"/>
    <x:sheet xmlns:r="http://schemas.openxmlformats.org/officeDocument/2006/relationships" name="HR Technology" sheetId="18" r:id="R0058ef49ffb648c8"/>
    <x:sheet xmlns:r="http://schemas.openxmlformats.org/officeDocument/2006/relationships" name="Risk and Scenarios" sheetId="19" r:id="R2a845b94c0e64526"/>
    <x:sheet xmlns:r="http://schemas.openxmlformats.org/officeDocument/2006/relationships" name="Data Dictionary" sheetId="20" r:id="R81ea1befdf114130"/>
    <x:sheet xmlns:r="http://schemas.openxmlformats.org/officeDocument/2006/relationships" name="Data Sources" sheetId="21" r:id="Rb686e08cd3e241be"/>
    <x:sheet xmlns:r="http://schemas.openxmlformats.org/officeDocument/2006/relationships" name="Database SQL" sheetId="22" r:id="R4214c7c553f94a23"/>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0 &quot;M BDT&quot;"/>
    <x:numFmt numFmtId="202" formatCode="0.0%"/>
    <x:numFmt numFmtId="203" formatCode="0 &quot; / 100&quot;"/>
    <x:numFmt numFmtId="204" formatCode="0.0"/>
    <x:numFmt numFmtId="205" formatCode="yyyy-mm-dd"/>
    <x:numFmt numFmtId="206" formatCode="#,##0"/>
    <x:numFmt numFmtId="207" formatCode="#,##0.00"/>
  </x:numFmts>
  <x:fonts count="20">
    <x:font>
      <x:sz val="11"/>
      <x:name val="Carlito"/>
    </x:font>
    <x:font>
      <x:b/>
      <x:sz val="22"/>
      <x:color rgb="FFFFFFFF"/>
      <x:name val="Carlito"/>
    </x:font>
    <x:font>
      <x:i/>
      <x:sz val="10"/>
      <x:color rgb="FF1F2937"/>
      <x:name val="Carlito"/>
    </x:font>
    <x:font>
      <x:b/>
      <x:sz val="10"/>
      <x:color rgb="FFFFFFFF"/>
      <x:name val="Carlito"/>
    </x:font>
    <x:font>
      <x:b/>
      <x:sz val="20"/>
      <x:color rgb="FF1F2937"/>
      <x:name val="Carlito"/>
    </x:font>
    <x:font>
      <x:b/>
      <x:sz val="10"/>
      <x:color rgb="FF1F2937"/>
      <x:name val="Carlito"/>
    </x:font>
    <x:font>
      <x:b/>
      <x:sz val="20"/>
      <x:color rgb="FFFFFFFF"/>
      <x:name val="Carlito"/>
    </x:font>
    <x:font>
      <x:b/>
      <x:sz val="12"/>
      <x:color rgb="FF1F2937"/>
      <x:name val="Carlito"/>
    </x:font>
    <x:font>
      <x:sz val="11"/>
      <x:color rgb="FF1F2937"/>
      <x:name val="Carlito"/>
    </x:font>
    <x:font>
      <x:b/>
      <x:sz val="12"/>
      <x:color rgb="FFFFFFFF"/>
      <x:name val="Carlito"/>
    </x:font>
    <x:font>
      <x:b/>
      <x:sz val="11"/>
      <x:color rgb="FFFFFFFF"/>
      <x:name val="Carlito"/>
    </x:font>
    <x:font>
      <x:b/>
      <x:sz val="13"/>
      <x:color rgb="FF1F2937"/>
      <x:name val="Carlito"/>
    </x:font>
    <x:font>
      <x:sz val="9"/>
      <x:color rgb="FF1F2937"/>
      <x:name val="Carlito"/>
    </x:font>
    <x:font>
      <x:b/>
      <x:sz val="9"/>
      <x:color rgb="FFFFFFFF"/>
      <x:name val="Carlito"/>
    </x:font>
    <x:font>
      <x:sz val="8"/>
      <x:name val="Carlito"/>
    </x:font>
    <x:font>
      <x:i/>
      <x:sz val="11"/>
      <x:color rgb="FF1F2937"/>
      <x:name val="Carlito"/>
    </x:font>
    <x:font>
      <x:b/>
      <x:sz val="18"/>
      <x:color rgb="FF1F2937"/>
      <x:name val="Carlito"/>
    </x:font>
    <x:font>
      <x:b/>
      <x:sz val="11"/>
      <x:color rgb="FF1F2937"/>
      <x:name val="Carlito"/>
    </x:font>
    <x:font>
      <x:b/>
      <x:sz val="11"/>
      <x:name val="Carlito"/>
    </x:font>
    <x:font>
      <x:sz val="11"/>
      <x:color rgb="FF2563EB"/>
      <x:name val="Carlito"/>
    </x:font>
  </x:fonts>
  <x:fills count="20">
    <x:fill>
      <x:patternFill patternType="none"/>
    </x:fill>
    <x:fill>
      <x:patternFill patternType="gray125"/>
    </x:fill>
    <x:fill>
      <x:patternFill patternType="solid">
        <x:fgColor rgb="FF16324F"/>
      </x:patternFill>
    </x:fill>
    <x:fill>
      <x:patternFill patternType="solid">
        <x:fgColor rgb="FFE8F0F7"/>
      </x:patternFill>
    </x:fill>
    <x:fill>
      <x:patternFill patternType="solid">
        <x:fgColor rgb="FF0F766E"/>
      </x:patternFill>
    </x:fill>
    <x:fill>
      <x:patternFill patternType="solid">
        <x:fgColor rgb="FFFFFFFF"/>
      </x:patternFill>
    </x:fill>
    <x:fill>
      <x:patternFill patternType="solid">
        <x:fgColor rgb="FF15803D"/>
      </x:patternFill>
    </x:fill>
    <x:fill>
      <x:patternFill patternType="solid">
        <x:fgColor rgb="FF6655CC"/>
      </x:patternFill>
    </x:fill>
    <x:fill>
      <x:patternFill patternType="solid">
        <x:fgColor rgb="FFF59E0B"/>
      </x:patternFill>
    </x:fill>
    <x:fill>
      <x:patternFill patternType="solid">
        <x:fgColor rgb="FFFFF1D6"/>
      </x:patternFill>
    </x:fill>
    <x:fill>
      <x:patternFill patternType="solid">
        <x:fgColor rgb="FFDFF4F0"/>
      </x:patternFill>
    </x:fill>
    <x:fill>
      <x:patternFill patternType="solid">
        <x:fgColor rgb="FFF8FAFC"/>
      </x:patternFill>
    </x:fill>
    <x:fill>
      <x:patternFill patternType="solid">
        <x:fgColor rgb="FF16324F"/>
      </x:patternFill>
    </x:fill>
    <x:fill>
      <x:patternFill patternType="solid">
        <x:fgColor rgb="FFE8F0F7"/>
      </x:patternFill>
    </x:fill>
    <x:fill>
      <x:patternFill patternType="solid">
        <x:fgColor rgb="FF0F766E"/>
      </x:patternFill>
    </x:fill>
    <x:fill>
      <x:patternFill patternType="solid">
        <x:fgColor rgb="FFFFFFFF"/>
      </x:patternFill>
    </x:fill>
    <x:fill>
      <x:patternFill patternType="solid">
        <x:fgColor rgb="FF6655CC"/>
      </x:patternFill>
    </x:fill>
    <x:fill>
      <x:patternFill patternType="solid">
        <x:fgColor rgb="FFF59E0B"/>
      </x:patternFill>
    </x:fill>
    <x:fill>
      <x:patternFill patternType="solid">
        <x:fgColor rgb="FFDFF4F0"/>
      </x:patternFill>
    </x:fill>
    <x:fill>
      <x:patternFill patternType="solid">
        <x:fgColor rgb="FFFFF1D6"/>
      </x:patternFill>
    </x:fill>
  </x:fills>
  <x:borders count="2">
    <x:border/>
    <x:border/>
  </x:borders>
  <x:cellStyleXfs count="1">
    <x:xf numFmtId="0" fontId="0" fillId="0" borderId="0"/>
  </x:cellStyleXfs>
  <x:cellXfs count="2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200" fontId="4" fillId="5" borderId="0" xfId="0" applyNumberFormat="1" applyFont="1" applyFill="1" applyBorder="1" applyAlignment="1">
      <x:alignment horizontal="center" vertical="center"/>
    </x:xf>
    <x:xf numFmtId="200" fontId="4" fillId="5" borderId="1"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3" fillId="6" borderId="1" xfId="0" applyNumberFormat="1" applyFont="1" applyFill="1" applyBorder="1" applyAlignment="1">
      <x:alignment horizontal="center" vertical="center"/>
    </x:xf>
    <x:xf numFmtId="201" fontId="4" fillId="5" borderId="0" xfId="0" applyNumberFormat="1" applyFont="1" applyFill="1" applyBorder="1" applyAlignment="1">
      <x:alignment horizontal="center" vertical="center"/>
    </x:xf>
    <x:xf numFmtId="201" fontId="4" fillId="5" borderId="1"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3" fillId="7" borderId="1" xfId="0" applyNumberFormat="1" applyFont="1" applyFill="1" applyBorder="1" applyAlignment="1">
      <x:alignment horizontal="center" vertical="center"/>
    </x:xf>
    <x:xf numFmtId="202" fontId="4" fillId="5" borderId="0" xfId="0" applyNumberFormat="1" applyFont="1" applyFill="1" applyBorder="1" applyAlignment="1">
      <x:alignment horizontal="center" vertical="center"/>
    </x:xf>
    <x:xf numFmtId="202" fontId="4" fillId="5"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vertic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203" fontId="4" fillId="5" borderId="0" xfId="0" applyNumberFormat="1" applyFont="1" applyFill="1" applyBorder="1" applyAlignment="1">
      <x:alignment horizontal="center" vertical="center"/>
    </x:xf>
    <x:xf numFmtId="203" fontId="4" fillId="5" borderId="1" xfId="0" applyNumberFormat="1" applyFont="1" applyFill="1" applyBorder="1" applyAlignment="1">
      <x:alignment horizontal="center"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9" borderId="1" xfId="0" applyNumberFormat="1" applyFont="1" applyFill="1" applyBorder="1"/>
    <x:xf numFmtId="0" fontId="5" fillId="9" borderId="1" xfId="0" applyNumberFormat="1" applyFont="1" applyFill="1" applyBorder="1"/>
    <x:xf numFmtId="0" fontId="5" fillId="9" borderId="1" xfId="0" applyNumberFormat="1" applyFont="1" applyFill="1" applyBorder="1" applyAlignment="1">
      <x:alignment wrapText="1"/>
    </x:xf>
    <x:xf numFmtId="0" fontId="5" fillId="9"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horizontal="left"/>
    </x:xf>
    <x:xf numFmtId="0" fontId="6" fillId="2" borderId="0" xfId="0" applyNumberFormat="1" applyFont="1" applyFill="1" applyBorder="1" applyAlignment="1">
      <x:alignment horizontal="left" vertical="center"/>
    </x:xf>
    <x:xf numFmtId="0" fontId="6" fillId="2" borderId="1" xfId="0" applyNumberFormat="1" applyFont="1" applyFill="1" applyBorder="1"/>
    <x:xf numFmtId="0" fontId="6" fillId="2" borderId="1" xfId="0" applyNumberFormat="1" applyFont="1" applyFill="1" applyBorder="1" applyAlignment="1">
      <x:alignment horizontal="left"/>
    </x:xf>
    <x:xf numFmtId="0" fontId="6" fillId="2" borderId="1" xfId="0" applyNumberFormat="1" applyFont="1" applyFill="1" applyBorder="1" applyAlignment="1">
      <x:alignment horizontal="left" vertical="center"/>
    </x:xf>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7" fillId="9" borderId="1" xfId="0" applyNumberFormat="1" applyFont="1" applyFill="1" applyBorder="1"/>
    <x:xf numFmtId="0" fontId="7" fillId="9" borderId="1" xfId="0" applyNumberFormat="1" applyFont="1" applyFill="1" applyBorder="1" applyAlignment="1">
      <x:alignment wrapText="1"/>
    </x:xf>
    <x:xf numFmtId="0" fontId="7" fillId="9" borderId="1" xfId="0" applyNumberFormat="1" applyFont="1" applyFill="1" applyBorder="1" applyAlignment="1">
      <x:alignment vertical="center"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top" wrapText="1"/>
    </x:xf>
    <x:xf numFmtId="0" fontId="8" fillId="3" borderId="1" xfId="0" applyNumberFormat="1" applyFont="1" applyFill="1" applyBorder="1"/>
    <x:xf numFmtId="0" fontId="8" fillId="3" borderId="1" xfId="0" applyNumberFormat="1" applyFont="1" applyFill="1" applyBorder="1" applyAlignment="1">
      <x:alignment wrapText="1"/>
    </x:xf>
    <x:xf numFmtId="0" fontId="8" fillId="3" borderId="1"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top" wrapText="1"/>
    </x:xf>
    <x:xf numFmtId="0" fontId="0" fillId="10" borderId="1" xfId="0" applyNumberFormat="1" applyFont="1" applyFill="1" applyBorder="1"/>
    <x:xf numFmtId="0" fontId="8" fillId="10" borderId="1" xfId="0" applyNumberFormat="1" applyFont="1" applyFill="1" applyBorder="1"/>
    <x:xf numFmtId="0" fontId="8" fillId="10" borderId="1" xfId="0" applyNumberFormat="1" applyFont="1" applyFill="1" applyBorder="1" applyAlignment="1">
      <x:alignment wrapText="1"/>
    </x:xf>
    <x:xf numFmtId="0" fontId="8" fillId="10" borderId="1" xfId="0" applyNumberFormat="1" applyFont="1" applyFill="1" applyBorder="1" applyAlignment="1">
      <x:alignment vertical="top" wrapText="1"/>
    </x:xf>
    <x:xf numFmtId="0" fontId="9" fillId="2" borderId="0" xfId="0" applyNumberFormat="1" applyFont="1" applyFill="1" applyBorder="1"/>
    <x:xf numFmtId="0" fontId="9" fillId="2" borderId="1"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1" xfId="0" applyNumberFormat="1" applyFont="1" applyFill="1" applyBorder="1"/>
    <x:xf numFmtId="0" fontId="10" fillId="4"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11" borderId="0" xfId="0" applyNumberFormat="1" applyFont="1" applyFill="1" applyBorder="1"/>
    <x:xf numFmtId="0" fontId="11" fillId="11" borderId="0" xfId="0" applyNumberFormat="1" applyFont="1" applyFill="1" applyBorder="1"/>
    <x:xf numFmtId="0" fontId="11" fillId="11" borderId="0" xfId="0" applyNumberFormat="1" applyFont="1" applyFill="1" applyBorder="1" applyAlignment="1">
      <x:alignment wrapText="1"/>
    </x:xf>
    <x:xf numFmtId="0" fontId="11" fillId="11" borderId="0" xfId="0" applyNumberFormat="1" applyFont="1" applyFill="1" applyBorder="1" applyAlignment="1">
      <x:alignment horizontal="center" wrapText="1"/>
    </x:xf>
    <x:xf numFmtId="0" fontId="11" fillId="11" borderId="0" xfId="0" applyNumberFormat="1" applyFont="1" applyFill="1" applyBorder="1" applyAlignment="1">
      <x:alignment horizontal="center" vertical="center" wrapText="1"/>
    </x:xf>
    <x:xf numFmtId="0" fontId="0" fillId="11" borderId="1" xfId="0" applyNumberFormat="1" applyFont="1" applyFill="1" applyBorder="1"/>
    <x:xf numFmtId="0" fontId="11" fillId="11" borderId="1" xfId="0" applyNumberFormat="1" applyFont="1" applyFill="1" applyBorder="1"/>
    <x:xf numFmtId="0" fontId="11" fillId="11" borderId="1" xfId="0" applyNumberFormat="1" applyFont="1" applyFill="1" applyBorder="1" applyAlignment="1">
      <x:alignment wrapText="1"/>
    </x:xf>
    <x:xf numFmtId="0" fontId="11" fillId="11" borderId="1" xfId="0" applyNumberFormat="1" applyFont="1" applyFill="1" applyBorder="1" applyAlignment="1">
      <x:alignment horizontal="center" wrapText="1"/>
    </x:xf>
    <x:xf numFmtId="0" fontId="11" fillId="11" borderId="1" xfId="0" applyNumberFormat="1" applyFont="1" applyFill="1" applyBorder="1" applyAlignment="1">
      <x:alignment horizontal="center"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0" borderId="1" xfId="0" applyNumberFormat="1" applyFont="1" applyFill="1" applyBorder="1"/>
    <x:xf numFmtId="0" fontId="12" fillId="0" borderId="1" xfId="0" applyNumberFormat="1" applyFont="1" applyFill="1" applyBorder="1" applyAlignment="1">
      <x:alignment wrapText="1"/>
    </x:xf>
    <x:xf numFmtId="0" fontId="12" fillId="0" borderId="1" xfId="0" applyNumberFormat="1" applyFont="1" applyFill="1" applyBorder="1" applyAlignment="1">
      <x:alignment vertical="top" wrapText="1"/>
    </x:xf>
    <x:xf numFmtId="0" fontId="10" fillId="4" borderId="0" xfId="0" applyNumberFormat="1" applyFont="1" applyFill="1" applyBorder="1" applyAlignment="1">
      <x:alignment horizontal="center" wrapText="1"/>
    </x:xf>
    <x:xf numFmtId="0" fontId="10" fillId="4" borderId="1" xfId="0" applyNumberFormat="1" applyFont="1" applyFill="1" applyBorder="1" applyAlignment="1">
      <x:alignment horizont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4" fontId="0" fillId="0" borderId="0" xfId="0" applyNumberFormat="1" applyFont="1" applyFill="1" applyBorder="1" applyAlignment="1">
      <x:alignment wrapText="1"/>
    </x:xf>
    <x:xf numFmtId="204" fontId="0" fillId="0" borderId="1" xfId="0" applyNumberFormat="1" applyFont="1" applyFill="1" applyBorder="1" applyAlignment="1">
      <x:alignment wrapText="1"/>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horizontal="center" wrapText="1"/>
    </x:xf>
    <x:xf numFmtId="0" fontId="13" fillId="4" borderId="0" xfId="0" applyNumberFormat="1" applyFont="1" applyFill="1" applyBorder="1" applyAlignment="1">
      <x:alignment horizontal="center" vertical="center" wrapText="1"/>
    </x:xf>
    <x:xf numFmtId="0" fontId="13" fillId="4" borderId="1" xfId="0" applyNumberFormat="1" applyFont="1" applyFill="1" applyBorder="1"/>
    <x:xf numFmtId="0" fontId="13" fillId="4" borderId="1" xfId="0" applyNumberFormat="1" applyFont="1" applyFill="1" applyBorder="1" applyAlignment="1">
      <x:alignment wrapText="1"/>
    </x:xf>
    <x:xf numFmtId="0" fontId="13" fillId="4" borderId="1" xfId="0" applyNumberFormat="1" applyFont="1" applyFill="1" applyBorder="1" applyAlignment="1">
      <x:alignment horizontal="center" wrapText="1"/>
    </x:xf>
    <x:xf numFmtId="0" fontId="13" fillId="4" borderId="1" xfId="0" applyNumberFormat="1" applyFont="1" applyFill="1" applyBorder="1" applyAlignment="1">
      <x:alignment horizontal="center" vertical="center" wrapText="1"/>
    </x:xf>
    <x:xf numFmtId="0" fontId="14" fillId="0" borderId="0" xfId="0" applyNumberFormat="1" applyFont="1" applyFill="1" applyBorder="1"/>
    <x:xf numFmtId="0" fontId="14" fillId="0" borderId="0" xfId="0" applyNumberFormat="1" applyFont="1" applyFill="1" applyBorder="1" applyAlignment="1">
      <x:alignment wrapText="1"/>
    </x:xf>
    <x:xf numFmtId="0" fontId="14" fillId="0" borderId="0" xfId="0" applyNumberFormat="1" applyFont="1" applyFill="1" applyBorder="1" applyAlignment="1">
      <x:alignment vertical="top" wrapText="1"/>
    </x:xf>
    <x:xf numFmtId="0" fontId="14" fillId="0" borderId="1" xfId="0" applyNumberFormat="1" applyFont="1" applyFill="1" applyBorder="1"/>
    <x:xf numFmtId="0" fontId="14" fillId="0" borderId="1" xfId="0" applyNumberFormat="1" applyFont="1" applyFill="1" applyBorder="1" applyAlignment="1">
      <x:alignment wrapText="1"/>
    </x:xf>
    <x:xf numFmtId="0" fontId="14" fillId="0" borderId="1" xfId="0" applyNumberFormat="1" applyFont="1" applyFill="1" applyBorder="1" applyAlignment="1">
      <x:alignment vertical="top" wrapText="1"/>
    </x:xf>
    <x:xf numFmtId="205" fontId="14" fillId="0" borderId="0" xfId="0" applyNumberFormat="1" applyFont="1" applyFill="1" applyBorder="1" applyAlignment="1">
      <x:alignment vertical="top" wrapText="1"/>
    </x:xf>
    <x:xf numFmtId="205" fontId="14" fillId="0" borderId="1" xfId="0" applyNumberFormat="1" applyFont="1" applyFill="1" applyBorder="1" applyAlignment="1">
      <x:alignment vertical="top" wrapText="1"/>
    </x:xf>
    <x:xf numFmtId="206" fontId="14" fillId="0" borderId="0" xfId="0" applyNumberFormat="1" applyFont="1" applyFill="1" applyBorder="1" applyAlignment="1">
      <x:alignment vertical="top" wrapText="1"/>
    </x:xf>
    <x:xf numFmtId="206" fontId="14" fillId="0" borderId="1" xfId="0" applyNumberFormat="1" applyFont="1" applyFill="1" applyBorder="1" applyAlignment="1">
      <x:alignment vertical="top" wrapText="1"/>
    </x:xf>
    <x:xf numFmtId="205" fontId="12" fillId="0" borderId="0" xfId="0" applyNumberFormat="1" applyFont="1" applyFill="1" applyBorder="1" applyAlignment="1">
      <x:alignment vertical="top" wrapText="1"/>
    </x:xf>
    <x:xf numFmtId="205" fontId="12" fillId="0" borderId="1" xfId="0" applyNumberFormat="1" applyFont="1" applyFill="1" applyBorder="1" applyAlignment="1">
      <x:alignment vertical="top" wrapText="1"/>
    </x:xf>
    <x:xf numFmtId="207" fontId="12" fillId="0" borderId="0" xfId="0" applyNumberFormat="1" applyFont="1" applyFill="1" applyBorder="1" applyAlignment="1">
      <x:alignment vertical="top" wrapText="1"/>
    </x:xf>
    <x:xf numFmtId="207" fontId="12" fillId="0" borderId="1"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1" xfId="0" applyNumberFormat="1" applyFont="1" applyFill="1" applyBorder="1" applyAlignment="1">
      <x:alignment vertical="top" wrapText="1"/>
    </x:xf>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1" xfId="0" applyNumberFormat="1" applyFont="1" applyFill="1" applyBorder="1"/>
    <x:xf numFmtId="0" fontId="10" fillId="8" borderId="1"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vertical="center"/>
    </x:xf>
    <x:xf numFmtId="0" fontId="0" fillId="13" borderId="0" xfId="0" applyNumberFormat="1" applyFont="1" applyFill="1" applyBorder="1"/>
    <x:xf numFmtId="0" fontId="15" fillId="13" borderId="0" xfId="0" applyNumberFormat="1" applyFont="1" applyFill="1" applyBorder="1"/>
    <x:xf numFmtId="0" fontId="15" fillId="13" borderId="0" xfId="0" applyNumberFormat="1" applyFont="1" applyFill="1" applyBorder="1" applyAlignment="1">
      <x:alignment wrapText="1"/>
    </x:xf>
    <x:xf numFmtId="0" fontId="15" fillId="13" borderId="0" xfId="0" applyNumberFormat="1" applyFont="1" applyFill="1" applyBorder="1" applyAlignment="1">
      <x:alignment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vertical="center"/>
    </x:xf>
    <x:xf numFmtId="0" fontId="0" fillId="15" borderId="0" xfId="0" applyNumberFormat="1" applyFont="1" applyFill="1" applyBorder="1"/>
    <x:xf numFmtId="0" fontId="16" fillId="15" borderId="0" xfId="0" applyNumberFormat="1" applyFont="1" applyFill="1" applyBorder="1"/>
    <x:xf numFmtId="0" fontId="16" fillId="15" xfId="0" applyNumberFormat="1" applyFont="1" applyFill="1" applyBorder="0"/>
    <x:xf numFmtId="200" fontId="16" fillId="15" xfId="0" applyNumberFormat="1" applyFont="1" applyFill="1" applyBorder="0"/>
    <x:xf numFmtId="200" fontId="16" fillId="15" xfId="0" applyNumberFormat="1" applyFont="1" applyFill="1" applyBorder="0" applyAlignment="1">
      <x:alignment horizontal="center"/>
    </x:xf>
    <x:xf numFmtId="200" fontId="16" fillId="15" xfId="0" applyNumberFormat="1" applyFont="1" applyFill="1" applyBorder="0" applyAlignment="1">
      <x:alignment horizontal="center" vertical="center"/>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vertical="center"/>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vertical="center"/>
    </x:xf>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vertical="center"/>
    </x:xf>
    <x:xf numFmtId="0" fontId="9" fillId="14" borderId="0" xfId="0" applyNumberFormat="1" applyFont="1" applyFill="1" applyBorder="1"/>
    <x:xf numFmtId="0" fontId="0" fillId="18" borderId="0" xfId="0" applyNumberFormat="1" applyFont="1" applyFill="1" applyBorder="1"/>
    <x:xf numFmtId="0" fontId="17" fillId="18" borderId="0" xfId="0" applyNumberFormat="1" applyFont="1" applyFill="1" applyBorder="1"/>
    <x:xf numFmtId="0" fontId="17" fillId="18" xfId="0" applyNumberFormat="1" applyFont="1" applyFill="1" applyBorder="0"/>
    <x:xf numFmtId="0" fontId="0" fillId="0" xfId="0" applyNumberFormat="1" applyFont="1" applyFill="1" applyBorder="0"/>
    <x:xf numFmtId="0" fontId="0" fillId="0" xfId="0" applyNumberFormat="1" applyFont="1" applyFill="1" applyBorder="0" applyAlignment="1">
      <x:alignment wrapText="1"/>
    </x:xf>
    <x:xf numFmtId="0" fontId="9" fillId="16" borderId="0" xfId="0" applyNumberFormat="1" applyFont="1" applyFill="1" applyBorder="1"/>
    <x:xf numFmtId="0" fontId="17" fillId="13" borderId="0" xfId="0" applyNumberFormat="1" applyFont="1" applyFill="1" applyBorder="1"/>
    <x:xf numFmtId="0" fontId="17" fillId="13" xfId="0" applyNumberFormat="1" applyFont="1" applyFill="1" applyBorder="0"/>
    <x:xf numFmtId="0" fontId="9" fillId="17" borderId="0" xfId="0" applyNumberFormat="1" applyFont="1" applyFill="1" applyBorder="1"/>
    <x:xf numFmtId="0" fontId="0" fillId="19" borderId="0" xfId="0" applyNumberFormat="1" applyFont="1" applyFill="1" applyBorder="1"/>
    <x:xf numFmtId="0" fontId="17" fillId="19" borderId="0" xfId="0" applyNumberFormat="1" applyFont="1" applyFill="1" applyBorder="1"/>
    <x:xf numFmtId="0" fontId="17" fillId="19" xfId="0" applyNumberFormat="1" applyFont="1" applyFill="1" applyBorder="0"/>
    <x:xf numFmtId="0" fontId="0" fillId="0" xfId="0" applyNumberFormat="1" applyFont="1" applyFill="1" applyBorder="0" applyAlignment="1">
      <x:alignment vertical="top" wrapText="1"/>
    </x:xf>
    <x:xf numFmtId="0" fontId="9" fillId="12" borderId="0" xfId="0" applyNumberFormat="1" applyFont="1" applyFill="1" applyBorder="1"/>
    <x:xf numFmtId="0" fontId="18" fillId="13" borderId="0" xfId="0" applyNumberFormat="1" applyFont="1" applyFill="1" applyBorder="1"/>
    <x:xf numFmtId="0" fontId="18" fillId="13" xfId="0" applyNumberFormat="1" applyFont="1" applyFill="1" applyBorder="0"/>
    <x:xf numFmtId="0" fontId="19" fillId="0" borderId="0" xfId="0" applyNumberFormat="1" applyFont="1" applyFill="1" applyBorder="1"/>
    <x:xf numFmtId="0" fontId="19" fillId="0" xfId="0" applyNumberFormat="1" applyFont="1" applyFill="1" applyBorder="0"/>
    <x:xf numFmtId="0" fontId="19" fillId="0" xfId="0" applyNumberFormat="1" applyFont="1" applyFill="1" applyBorder="0"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742397f3f04c5c" /><Relationship Type="http://schemas.openxmlformats.org/officeDocument/2006/relationships/theme" Target="/xl/theme/theme1.xml" Id="Rd104e4a511ac43e3" /><Relationship Type="http://schemas.openxmlformats.org/officeDocument/2006/relationships/sharedStrings" Target="/xl/sharedStrings.xml" Id="R5c61da270a634ff9" /><Relationship Type="http://schemas.openxmlformats.org/officeDocument/2006/relationships/worksheet" Target="/xl/worksheets/sheet1.xml" Id="R919a864b45df4523" /><Relationship Type="http://schemas.openxmlformats.org/officeDocument/2006/relationships/worksheet" Target="/xl/worksheets/sheet2.xml" Id="R0084746122534749" /><Relationship Type="http://schemas.openxmlformats.org/officeDocument/2006/relationships/worksheet" Target="/xl/worksheets/sheet3.xml" Id="Rbc89c8a3b34c48e2" /><Relationship Type="http://schemas.openxmlformats.org/officeDocument/2006/relationships/worksheet" Target="/xl/worksheets/sheet4.xml" Id="Rf19ce93187734463" /><Relationship Type="http://schemas.openxmlformats.org/officeDocument/2006/relationships/worksheet" Target="/xl/worksheets/sheet5.xml" Id="R26eed1e3c2274271" /><Relationship Type="http://schemas.openxmlformats.org/officeDocument/2006/relationships/worksheet" Target="/xl/worksheets/sheet6.xml" Id="R372b6d0119b34a01" /><Relationship Type="http://schemas.openxmlformats.org/officeDocument/2006/relationships/worksheet" Target="/xl/worksheets/sheet7.xml" Id="Rc9115fcd885d490e" /><Relationship Type="http://schemas.openxmlformats.org/officeDocument/2006/relationships/worksheet" Target="/xl/worksheets/sheet8.xml" Id="R4075b1fa543f42b8" /><Relationship Type="http://schemas.openxmlformats.org/officeDocument/2006/relationships/worksheet" Target="/xl/worksheets/sheet9.xml" Id="R8361d0daa12549b5" /><Relationship Type="http://schemas.openxmlformats.org/officeDocument/2006/relationships/worksheet" Target="/xl/worksheets/sheet10.xml" Id="R6de6ff20db0b43c1" /><Relationship Type="http://schemas.openxmlformats.org/officeDocument/2006/relationships/worksheet" Target="/xl/worksheets/sheet11.xml" Id="R6bf93a685b20465d" /><Relationship Type="http://schemas.openxmlformats.org/officeDocument/2006/relationships/worksheet" Target="/xl/worksheets/sheet12.xml" Id="R6001104151044e25" /><Relationship Type="http://schemas.openxmlformats.org/officeDocument/2006/relationships/worksheet" Target="/xl/worksheets/sheet13.xml" Id="Ra229089d7bc94f37" /><Relationship Type="http://schemas.openxmlformats.org/officeDocument/2006/relationships/worksheet" Target="/xl/worksheets/sheet14.xml" Id="R327e0889c3964002" /><Relationship Type="http://schemas.openxmlformats.org/officeDocument/2006/relationships/worksheet" Target="/xl/worksheets/sheet15.xml" Id="Ree9ccdc63135466b" /><Relationship Type="http://schemas.openxmlformats.org/officeDocument/2006/relationships/worksheet" Target="/xl/worksheets/sheet16.xml" Id="Rd7f405b1d3c84ed4" /><Relationship Type="http://schemas.openxmlformats.org/officeDocument/2006/relationships/worksheet" Target="/xl/worksheets/sheet17.xml" Id="R50ae5d916e8349cc" /><Relationship Type="http://schemas.openxmlformats.org/officeDocument/2006/relationships/worksheet" Target="/xl/worksheets/sheet18.xml" Id="R0058ef49ffb648c8" /><Relationship Type="http://schemas.openxmlformats.org/officeDocument/2006/relationships/worksheet" Target="/xl/worksheets/sheet19.xml" Id="R2a845b94c0e64526" /><Relationship Type="http://schemas.openxmlformats.org/officeDocument/2006/relationships/worksheet" Target="/xl/worksheets/sheet20.xml" Id="R81ea1befdf114130" /><Relationship Type="http://schemas.openxmlformats.org/officeDocument/2006/relationships/worksheet" Target="/xl/worksheets/sheet21.xml" Id="Rb686e08cd3e241be" /><Relationship Type="http://schemas.openxmlformats.org/officeDocument/2006/relationships/worksheet" Target="/xl/worksheets/sheet22.xml" Id="R4214c7c553f94a23" /></Relationships>
</file>

<file path=xl/drawings/_rels/drawing1.xml.rels>&#65279;<?xml version="1.0" encoding="utf-8"?><Relationships xmlns="http://schemas.openxmlformats.org/package/2006/relationships"><Relationship Type="http://schemas.openxmlformats.org/officeDocument/2006/relationships/chart" Target="/xl/drawings/charts/chart1.xml" Id="R3f36442d04064386" /><Relationship Type="http://schemas.openxmlformats.org/officeDocument/2006/relationships/chart" Target="/xl/drawings/charts/chart2.xml" Id="Rd3bceeeb68ef41bd" /><Relationship Type="http://schemas.openxmlformats.org/officeDocument/2006/relationships/chart" Target="/xl/drawings/charts/chart3.xml" Id="Rcbcf558ccd0445a5" /><Relationship Type="http://schemas.openxmlformats.org/officeDocument/2006/relationships/chart" Target="/xl/drawings/charts/chart4.xml" Id="Rc41a579aa6e44da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Quarterly Operating Profit Recovery</a:t>
            </a:r>
          </a:p>
        </c:rich>
      </c:tx>
      <c:overlay val="0"/>
    </c:title>
    <c:autoTitleDeleted val="0"/>
    <c:plotArea>
      <c:layout/>
      <c:lineChart>
        <c:grouping val="standard"/>
        <c:varyColors val="0"/>
        <c:ser>
          <c:idx val="0"/>
          <c:order val="0"/>
          <c:tx>
            <c:v>Operating Profit (M BDT)</c:v>
          </c:tx>
          <c:cat>
            <c:strRef>
              <c:f>'Executive Dashboard'!$N$2:$N$5</c:f>
              <c:strCache>
                <c:ptCount val="0"/>
              </c:strCache>
            </c:strRef>
          </c:cat>
          <c:val>
            <c:numRef>
              <c:f>'Executive Dashboard'!$O$2:$O$5</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Workforce Bridge by Quarter</a:t>
            </a:r>
          </a:p>
        </c:rich>
      </c:tx>
      <c:overlay val="0"/>
    </c:title>
    <c:autoTitleDeleted val="0"/>
    <c:plotArea>
      <c:layout/>
      <c:barChart>
        <c:barDir val="col"/>
        <c:varyColors val="0"/>
        <c:ser>
          <c:idx val="0"/>
          <c:order val="0"/>
          <c:tx>
            <c:v>Active Headcount</c:v>
          </c:tx>
          <c:cat>
            <c:strRef>
              <c:f>'Executive Dashboard'!$Q$2:$Q$5</c:f>
              <c:strCache>
                <c:ptCount val="0"/>
              </c:strCache>
            </c:strRef>
          </c:cat>
          <c:val>
            <c:numRef>
              <c:f>'Executive Dashboard'!$R$2:$R$5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Quality Recovery: FPY vs Defect</a:t>
            </a:r>
          </a:p>
        </c:rich>
      </c:tx>
      <c:overlay val="0"/>
    </c:title>
    <c:autoTitleDeleted val="0"/>
    <c:plotArea>
      <c:layout/>
      <c:lineChart>
        <c:grouping val="standard"/>
        <c:varyColors val="0"/>
        <c:ser>
          <c:idx val="0"/>
          <c:order val="0"/>
          <c:tx>
            <c:v>First Pass Yield</c:v>
          </c:tx>
          <c:cat>
            <c:strRef>
              <c:f>'Executive Dashboard'!$N$9:$N$12</c:f>
              <c:strCache>
                <c:ptCount val="0"/>
              </c:strCache>
            </c:strRef>
          </c:cat>
          <c:val>
            <c:numRef>
              <c:f>'Executive Dashboard'!$O$9:$O$12</c:f>
              <c:numCache>
                <c:formatCode>0.0%</c:formatCode>
                <c:ptCount val="0"/>
              </c:numCache>
            </c:numRef>
          </c:val>
          <c:smooth val="0"/>
        </c:ser>
        <c:ser>
          <c:idx val="1"/>
          <c:order val="1"/>
          <c:tx>
            <c:v>Defect Rate</c:v>
          </c:tx>
          <c:cat>
            <c:strRef>
              <c:f>'Executive Dashboard'!$N$9:$N$12</c:f>
              <c:strCache>
                <c:ptCount val="0"/>
              </c:strCache>
            </c:strRef>
          </c:cat>
          <c:val>
            <c:numRef>
              <c:f>'Executive Dashboard'!$P$9:$P$12</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Q4 HR Pillar Maturity</a:t>
            </a:r>
          </a:p>
        </c:rich>
      </c:tx>
      <c:overlay val="0"/>
    </c:title>
    <c:autoTitleDeleted val="0"/>
    <c:plotArea>
      <c:layout/>
      <c:barChart>
        <c:barDir val="col"/>
        <c:varyColors val="0"/>
        <c:ser>
          <c:idx val="0"/>
          <c:order val="0"/>
          <c:tx>
            <c:v>Q4 Score</c:v>
          </c:tx>
          <c:cat>
            <c:strRef>
              <c:f>'Executive Dashboard'!$N$16:$N$27</c:f>
              <c:strCache>
                <c:ptCount val="0"/>
              </c:strCache>
            </c:strRef>
          </c:cat>
          <c:val>
            <c:numRef>
              <c:f>'Executive Dashboard'!$O$16:$O$27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6</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36442d04064386"/>
        </a:graphicData>
      </a:graphic>
    </xdr:graphicFrame>
    <xdr:clientData/>
  </xdr:twoCellAnchor>
  <xdr:twoCellAnchor>
    <xdr:from>
      <xdr:col>6</xdr:col>
      <xdr:colOff>0</xdr:colOff>
      <xdr:row>17</xdr:row>
      <xdr:rowOff>0</xdr:rowOff>
    </xdr:from>
    <xdr:to>
      <xdr:col>12</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bceeeb68ef41bd"/>
        </a:graphicData>
      </a:graphic>
    </xdr:graphicFrame>
    <xdr:clientData/>
  </xdr:twoCellAnchor>
  <xdr:twoCellAnchor>
    <xdr:from>
      <xdr:col>0</xdr:col>
      <xdr:colOff>0</xdr:colOff>
      <xdr:row>33</xdr:row>
      <xdr:rowOff>0</xdr:rowOff>
    </xdr:from>
    <xdr:to>
      <xdr:col>6</xdr:col>
      <xdr:colOff>0</xdr:colOff>
      <xdr:row>49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cf558ccd0445a5"/>
        </a:graphicData>
      </a:graphic>
    </xdr:graphicFrame>
    <xdr:clientData/>
  </xdr:twoCellAnchor>
  <xdr:twoCellAnchor>
    <xdr:from>
      <xdr:col>6</xdr:col>
      <xdr:colOff>0</xdr:colOff>
      <xdr:row>33</xdr:row>
      <xdr:rowOff>0</xdr:rowOff>
    </xdr:from>
    <xdr:to>
      <xdr:col>12</xdr:col>
      <xdr:colOff>0</xdr:colOff>
      <xdr:row>49</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1a579aa6e44daf"/>
        </a:graphicData>
      </a:graphic>
    </xdr:graphicFrame>
    <xdr:clientData/>
  </xdr:twoCellAnchor>
</xdr:wsDr>
</file>

<file path=xl/tables/table1.xml><?xml version="1.0" encoding="utf-8"?>
<x:table xmlns:x="http://schemas.openxmlformats.org/spreadsheetml/2006/main" id="1" name="HRFrameworkTable" displayName="HRFrameworkTable" ref="A5:E18" headerRowCount="1">
  <x:tableColumns count="5">
    <x:tableColumn id="1" name="Layer"/>
    <x:tableColumn id="2" name="Pillar_ID"/>
    <x:tableColumn id="3" name="Pillar"/>
    <x:tableColumn id="4" name="Purpose"/>
    <x:tableColumn id="5" name="Primary_Data"/>
  </x:tableColumns>
  <x:tableStyleInfo name="TableStyleMedium2" showRowStripes="1"/>
</x:table>
</file>

<file path=xl/tables/table2.xml><?xml version="1.0" encoding="utf-8"?>
<x:table xmlns:x="http://schemas.openxmlformats.org/spreadsheetml/2006/main" id="2" name="QuarterlyRoadmapTable" displayName="QuarterlyRoadmapTable" ref="A5:G9" headerRowCount="1">
  <x:tableColumns count="7">
    <x:tableColumn id="1" name="Quarter"/>
    <x:tableColumn id="2" name="Phase"/>
    <x:tableColumn id="3" name="Business_Context"/>
    <x:tableColumn id="4" name="Scope"/>
    <x:tableColumn id="5" name="Key_Actions"/>
    <x:tableColumn id="6" name="Approval_Gate"/>
    <x:tableColumn id="7" name="Decision"/>
  </x:tableColumns>
  <x:tableStyleInfo name="TableStyleMedium2" showRowStripes="1"/>
</x:table>
</file>

<file path=xl/tables/table3.xml><?xml version="1.0" encoding="utf-8"?>
<x:table xmlns:x="http://schemas.openxmlformats.org/spreadsheetml/2006/main" id="3" name="KPIQuarterlyScorecardTable" displayName="KPIQuarterlyScorecardTable" ref="A5:H23" headerRowCount="1">
  <x:tableColumns count="8">
    <x:tableColumn id="1" name="Metric"/>
    <x:tableColumn id="2" name="Unit"/>
    <x:tableColumn id="3" name="Q1"/>
    <x:tableColumn id="4" name="Q2"/>
    <x:tableColumn id="5" name="Q3"/>
    <x:tableColumn id="6" name="Q4"/>
    <x:tableColumn id="7" name="Annual_Target"/>
    <x:tableColumn id="8" name="Q4_Status"/>
  </x:tableColumns>
  <x:tableStyleInfo name="TableStyleMedium2" showRowStripes="1"/>
</x:table>
</file>

<file path=xl/tables/table4.xml><?xml version="1.0" encoding="utf-8"?>
<x:table xmlns:x="http://schemas.openxmlformats.org/spreadsheetml/2006/main" id="4" name="PillarMaturityTable" displayName="PillarMaturityTable" ref="A5:F17" headerRowCount="1">
  <x:tableColumns count="6">
    <x:tableColumn id="1" name="Pillar"/>
    <x:tableColumn id="2" name="Q1"/>
    <x:tableColumn id="3" name="Q2"/>
    <x:tableColumn id="4" name="Q3"/>
    <x:tableColumn id="5" name="Q4"/>
    <x:tableColumn id="6" name="Improvement_Q1_to_Q4"/>
  </x:tableColumns>
  <x:tableStyleInfo name="TableStyleMedium2" showRowStripes="1"/>
</x:table>
</file>

<file path=xl/tables/table5.xml><?xml version="1.0" encoding="utf-8"?>
<x:table xmlns:x="http://schemas.openxmlformats.org/spreadsheetml/2006/main" id="5" name="EmployeeMasterTable" displayName="EmployeeMasterTable" ref="A5:AA175" headerRowCount="1">
  <x:tableColumns count="27">
    <x:tableColumn id="1" name="Employee_ID"/>
    <x:tableColumn id="2" name="Employee_Name"/>
    <x:tableColumn id="3" name="Gender"/>
    <x:tableColumn id="4" name="Age"/>
    <x:tableColumn id="5" name="District"/>
    <x:tableColumn id="6" name="Entity_ID"/>
    <x:tableColumn id="7" name="Legal_Entity"/>
    <x:tableColumn id="8" name="Facility_ID"/>
    <x:tableColumn id="9" name="Department_Code"/>
    <x:tableColumn id="10" name="Department"/>
    <x:tableColumn id="11" name="Position"/>
    <x:tableColumn id="12" name="Grade"/>
    <x:tableColumn id="13" name="Employment_Type"/>
    <x:tableColumn id="14" name="Shift"/>
    <x:tableColumn id="15" name="Join_Date"/>
    <x:tableColumn id="16" name="Exit_Date"/>
    <x:tableColumn id="17" name="Employee_Status"/>
    <x:tableColumn id="18" name="Critical_Skill"/>
    <x:tableColumn id="19" name="Skill_Category"/>
    <x:tableColumn id="20" name="Skill_Level"/>
    <x:tableColumn id="21" name="Base_Salary_BDT"/>
    <x:tableColumn id="22" name="Allowance_BDT"/>
    <x:tableColumn id="23" name="Total_Monthly_Cost_BDT"/>
    <x:tableColumn id="24" name="Hire_Cohort"/>
    <x:tableColumn id="25" name="Synthetic_Data_Flag"/>
    <x:tableColumn id="26" name="Tenure_Months"/>
    <x:tableColumn id="27" name="Annual_Employment_Cost_BDT"/>
  </x:tableColumns>
  <x:tableStyleInfo name="TableStyleMedium2" showRowStripes="1"/>
</x:table>
</file>

<file path=xl/tables/table6.xml><?xml version="1.0" encoding="utf-8"?>
<x:table xmlns:x="http://schemas.openxmlformats.org/spreadsheetml/2006/main" id="6" name="WorkforceResetTable" displayName="WorkforceResetTable" ref="A5:O53" headerRowCount="1">
  <x:tableColumns count="15">
    <x:tableColumn id="1" name="Restructuring_ID"/>
    <x:tableColumn id="2" name="Employee_ID"/>
    <x:tableColumn id="3" name="Department"/>
    <x:tableColumn id="4" name="Position"/>
    <x:tableColumn id="5" name="Decision_Date"/>
    <x:tableColumn id="6" name="Effective_Date"/>
    <x:tableColumn id="7" name="Business_Reason"/>
    <x:tableColumn id="8" name="Selection_Criteria"/>
    <x:tableColumn id="9" name="Protected_Attribute_Used"/>
    <x:tableColumn id="10" name="Separation_Benefit_BDT"/>
    <x:tableColumn id="11" name="Estimated_Annual_Cost_Saving_BDT"/>
    <x:tableColumn id="12" name="Critical_Knowledge_Risk"/>
    <x:tableColumn id="13" name="Knowledge_Transfer_Completed"/>
    <x:tableColumn id="14" name="Rehire_Eligible"/>
    <x:tableColumn id="15" name="Ethical_Review_Status"/>
  </x:tableColumns>
  <x:tableStyleInfo name="TableStyleMedium2" showRowStripes="1"/>
</x:table>
</file>

<file path=xl/tables/table7.xml><?xml version="1.0" encoding="utf-8"?>
<x:table xmlns:x="http://schemas.openxmlformats.org/spreadsheetml/2006/main" id="7" name="RecruitmentFunnelTable" displayName="RecruitmentFunnelTable" ref="A5:S42" headerRowCount="1">
  <x:tableColumns count="19">
    <x:tableColumn id="1" name="Requisition_ID"/>
    <x:tableColumn id="2" name="Quarter"/>
    <x:tableColumn id="3" name="Department"/>
    <x:tableColumn id="4" name="Position"/>
    <x:tableColumn id="5" name="Critical_Role"/>
    <x:tableColumn id="6" name="Open_Date"/>
    <x:tableColumn id="7" name="Close_Date"/>
    <x:tableColumn id="8" name="Approved_Headcount"/>
    <x:tableColumn id="9" name="Applications"/>
    <x:tableColumn id="10" name="Screened"/>
    <x:tableColumn id="11" name="Interviewed"/>
    <x:tableColumn id="12" name="Offers_Made"/>
    <x:tableColumn id="13" name="Offers_Accepted"/>
    <x:tableColumn id="14" name="Hires_Joined"/>
    <x:tableColumn id="15" name="Primary_Source"/>
    <x:tableColumn id="16" name="Recruitment_Cost_BDT"/>
    <x:tableColumn id="17" name="Time_to_Fill_Days"/>
    <x:tableColumn id="18" name="Hiring_Manager_Satisfaction"/>
    <x:tableColumn id="19" name="90_Day_Retention_Rate"/>
  </x:tableColumns>
  <x:tableStyleInfo name="TableStyleMedium2" showRowStripes="1"/>
</x:table>
</file>

<file path=xl/tables/table8.xml><?xml version="1.0" encoding="utf-8"?>
<x:table xmlns:x="http://schemas.openxmlformats.org/spreadsheetml/2006/main" id="8" name="TrainingRecordsTable" displayName="TrainingRecordsTable" ref="A5:M196" headerRowCount="1">
  <x:tableColumns count="13">
    <x:tableColumn id="1" name="Training_Record_ID"/>
    <x:tableColumn id="2" name="Employee_ID"/>
    <x:tableColumn id="3" name="Quarter"/>
    <x:tableColumn id="4" name="Department"/>
    <x:tableColumn id="5" name="Course_Name"/>
    <x:tableColumn id="6" name="Training_Category"/>
    <x:tableColumn id="7" name="Training_Date"/>
    <x:tableColumn id="8" name="Training_Hours"/>
    <x:tableColumn id="9" name="Assessment_Score"/>
    <x:tableColumn id="10" name="Completion_Status"/>
    <x:tableColumn id="11" name="Certified"/>
    <x:tableColumn id="12" name="Training_Cost_BDT"/>
    <x:tableColumn id="13" name="Provider"/>
  </x:tableColumns>
  <x:tableStyleInfo name="TableStyleMedium2" showRowStripes="1"/>
</x:table>
</file>

<file path=xl/tables/table9.xml><?xml version="1.0" encoding="utf-8"?>
<x:table xmlns:x="http://schemas.openxmlformats.org/spreadsheetml/2006/main" id="9" name="PerformanceQuarterlyTable" displayName="PerformanceQuarterlyTable" ref="A5:K399" headerRowCount="1">
  <x:tableColumns count="11">
    <x:tableColumn id="1" name="Performance_Record_ID"/>
    <x:tableColumn id="2" name="Employee_ID"/>
    <x:tableColumn id="3" name="Quarter"/>
    <x:tableColumn id="4" name="Department"/>
    <x:tableColumn id="5" name="Goal_Achievement_Score"/>
    <x:tableColumn id="6" name="Quality_Score"/>
    <x:tableColumn id="7" name="Behaviour_Score"/>
    <x:tableColumn id="8" name="Overall_Score"/>
    <x:tableColumn id="9" name="Performance_Rating"/>
    <x:tableColumn id="10" name="Manager_Checkin_Completed"/>
    <x:tableColumn id="11" name="Development_Plan_Created"/>
  </x:tableColumns>
  <x:tableStyleInfo name="TableStyleMedium2" showRowStripes="1"/>
</x:table>
</file>

<file path=xl/tables/table10.xml><?xml version="1.0" encoding="utf-8"?>
<x:table xmlns:x="http://schemas.openxmlformats.org/spreadsheetml/2006/main" id="10" name="AttendanceMonthlyTable" displayName="AttendanceMonthlyTable" ref="A5:J146" headerRowCount="1">
  <x:tableColumns count="10">
    <x:tableColumn id="1" name="Month"/>
    <x:tableColumn id="2" name="Quarter"/>
    <x:tableColumn id="3" name="Department"/>
    <x:tableColumn id="4" name="Active_Headcount"/>
    <x:tableColumn id="5" name="Scheduled_Work_Days"/>
    <x:tableColumn id="6" name="Absent_Days"/>
    <x:tableColumn id="7" name="Absence_Rate"/>
    <x:tableColumn id="8" name="Average_Overtime_Hours_per_Employee"/>
    <x:tableColumn id="9" name="Late_Incidents"/>
    <x:tableColumn id="10" name="Safety_Incidents"/>
  </x:tableColumns>
  <x:tableStyleInfo name="TableStyleMedium2" showRowStripes="1"/>
</x:table>
</file>

<file path=xl/tables/table11.xml><?xml version="1.0" encoding="utf-8"?>
<x:table xmlns:x="http://schemas.openxmlformats.org/spreadsheetml/2006/main" id="11" name="ProductionMonthlyTable" displayName="ProductionMonthlyTable" ref="A5:N25" headerRowCount="1">
  <x:tableColumns count="14">
    <x:tableColumn id="1" name="Month"/>
    <x:tableColumn id="2" name="Quarter"/>
    <x:tableColumn id="3" name="Production_Line"/>
    <x:tableColumn id="4" name="Planned_Units"/>
    <x:tableColumn id="5" name="Actual_Units"/>
    <x:tableColumn id="6" name="First_Pass_Yield"/>
    <x:tableColumn id="7" name="Defect_Rate"/>
    <x:tableColumn id="8" name="Rework_Rate"/>
    <x:tableColumn id="9" name="Scrap_Units"/>
    <x:tableColumn id="10" name="Customer_Return_Rate"/>
    <x:tableColumn id="11" name="Units_per_Labour_Hour"/>
    <x:tableColumn id="12" name="Production_Headcount"/>
    <x:tableColumn id="13" name="Downtime_Hours"/>
    <x:tableColumn id="14" name="Primary_Constraint"/>
  </x:tableColumns>
  <x:tableStyleInfo name="TableStyleMedium2" showRowStripes="1"/>
</x:table>
</file>

<file path=xl/tables/table12.xml><?xml version="1.0" encoding="utf-8"?>
<x:table xmlns:x="http://schemas.openxmlformats.org/spreadsheetml/2006/main" id="12" name="FinancialImpactTable" displayName="FinancialImpactTable" ref="A5:O17" headerRowCount="1">
  <x:tableColumns count="15">
    <x:tableColumn id="1" name="Month"/>
    <x:tableColumn id="2" name="Quarter"/>
    <x:tableColumn id="3" name="Active_Headcount"/>
    <x:tableColumn id="4" name="Units_Sold"/>
    <x:tableColumn id="5" name="Revenue_BDT_Million"/>
    <x:tableColumn id="6" name="Material_Cost_BDT_Million"/>
    <x:tableColumn id="7" name="Workforce_Cost_BDT_Million"/>
    <x:tableColumn id="8" name="Overhead_BDT_Million"/>
    <x:tableColumn id="9" name="Scrap_Cost_BDT_Million"/>
    <x:tableColumn id="10" name="Warranty_Cost_BDT_Million"/>
    <x:tableColumn id="11" name="HR_Transformation_Cost_BDT_Million"/>
    <x:tableColumn id="12" name="Other_Operating_Cost_BDT_Million"/>
    <x:tableColumn id="13" name="Operating_Profit_BDT_Million"/>
    <x:tableColumn id="14" name="Cumulative_Profit_BDT_Million"/>
    <x:tableColumn id="15" name="Investment_Sale_Risk"/>
  </x:tableColumns>
  <x:tableStyleInfo name="TableStyleMedium2" showRowStripes="1"/>
</x:table>
</file>

<file path=xl/tables/table13.xml><?xml version="1.0" encoding="utf-8"?>
<x:table xmlns:x="http://schemas.openxmlformats.org/spreadsheetml/2006/main" id="13" name="PilotResultsTable" displayName="PilotResultsTable" ref="A5:G13" headerRowCount="1">
  <x:tableColumns count="7">
    <x:tableColumn id="1" name="Metric"/>
    <x:tableColumn id="2" name="Unit"/>
    <x:tableColumn id="3" name="Baseline_Q1"/>
    <x:tableColumn id="4" name="Pilot_Target"/>
    <x:tableColumn id="5" name="Pilot_Result"/>
    <x:tableColumn id="6" name="Control_Result"/>
    <x:tableColumn id="7" name="Decision"/>
  </x:tableColumns>
  <x:tableStyleInfo name="TableStyleMedium2" showRowStripes="1"/>
</x:table>
</file>

<file path=xl/tables/table14.xml><?xml version="1.0" encoding="utf-8"?>
<x:table xmlns:x="http://schemas.openxmlformats.org/spreadsheetml/2006/main" id="14" name="HRServiceTicketsTable" displayName="HRServiceTicketsTable" ref="A5:J379" headerRowCount="1">
  <x:tableColumns count="10">
    <x:tableColumn id="1" name="Ticket_ID"/>
    <x:tableColumn id="2" name="Created_Date"/>
    <x:tableColumn id="3" name="Quarter"/>
    <x:tableColumn id="4" name="Ticket_Type"/>
    <x:tableColumn id="5" name="Priority"/>
    <x:tableColumn id="6" name="Resolution_Hours"/>
    <x:tableColumn id="7" name="SLA_Target_Hours"/>
    <x:tableColumn id="8" name="SLA_Met"/>
    <x:tableColumn id="9" name="Employee_Satisfaction"/>
    <x:tableColumn id="10" name="Channel"/>
  </x:tableColumns>
  <x:tableStyleInfo name="TableStyleMedium2" showRowStripes="1"/>
</x:table>
</file>

<file path=xl/tables/table15.xml><?xml version="1.0" encoding="utf-8"?>
<x:table xmlns:x="http://schemas.openxmlformats.org/spreadsheetml/2006/main" id="15" name="EmployeeRelationsTable" displayName="EmployeeRelationsTable" ref="A5:K60" headerRowCount="1">
  <x:tableColumns count="11">
    <x:tableColumn id="1" name="Case_ID"/>
    <x:tableColumn id="2" name="Opened_Date"/>
    <x:tableColumn id="3" name="Quarter"/>
    <x:tableColumn id="4" name="Case_Type"/>
    <x:tableColumn id="5" name="Severity"/>
    <x:tableColumn id="6" name="Closure_Date"/>
    <x:tableColumn id="7" name="Closure_Days"/>
    <x:tableColumn id="8" name="SLA_Target_Days"/>
    <x:tableColumn id="9" name="Closed_Within_SLA"/>
    <x:tableColumn id="10" name="Outcome"/>
    <x:tableColumn id="11" name="Policy_Followed"/>
  </x:tableColumns>
  <x:tableStyleInfo name="TableStyleMedium2" showRowStripes="1"/>
</x:table>
</file>

<file path=xl/tables/table16.xml><?xml version="1.0" encoding="utf-8"?>
<x:table xmlns:x="http://schemas.openxmlformats.org/spreadsheetml/2006/main" id="16" name="HRTechnologyTable" displayName="HRTechnologyTable" ref="A5:J17" headerRowCount="1">
  <x:tableColumns count="10">
    <x:tableColumn id="1" name="Month"/>
    <x:tableColumn id="2" name="Quarter"/>
    <x:tableColumn id="3" name="Active_Headcount"/>
    <x:tableColumn id="4" name="HRIS_Registered_Users"/>
    <x:tableColumn id="5" name="Monthly_Active_Users"/>
    <x:tableColumn id="6" name="Self_Service_Transactions"/>
    <x:tableColumn id="7" name="Paper_Transactions"/>
    <x:tableColumn id="8" name="HRIS_Adoption_Rate"/>
    <x:tableColumn id="9" name="Data_Completeness_Rate"/>
    <x:tableColumn id="10" name="Average_HR_Service_Cost_BDT"/>
  </x:tableColumns>
  <x:tableStyleInfo name="TableStyleMedium2" showRowStripes="1"/>
</x:table>
</file>

<file path=xl/tables/table17.xml><?xml version="1.0" encoding="utf-8"?>
<x:table xmlns:x="http://schemas.openxmlformats.org/spreadsheetml/2006/main" id="17" name="WorkforceScenarioTable" displayName="WorkforceScenarioTable" ref="A5:G9" headerRowCount="1">
  <x:tableColumns count="7">
    <x:tableColumn id="1" name="Scenario"/>
    <x:tableColumn id="2" name="Headcount_End_2026"/>
    <x:tableColumn id="3" name="Annual_Revenue_BDT_M"/>
    <x:tableColumn id="4" name="Annual_Operating_Profit_BDT_M"/>
    <x:tableColumn id="5" name="Defect_Rate_Q4"/>
    <x:tableColumn id="6" name="Business_Sale_Risk"/>
    <x:tableColumn id="7" name="Recommendation"/>
  </x:tableColumns>
  <x:tableStyleInfo name="TableStyleMedium2" showRowStripes="1"/>
</x:table>
</file>

<file path=xl/tables/table18.xml><?xml version="1.0" encoding="utf-8"?>
<x:table xmlns:x="http://schemas.openxmlformats.org/spreadsheetml/2006/main" id="18" name="DataDictionaryTable" displayName="DataDictionaryTable" ref="A5:E18" headerRowCount="1">
  <x:tableColumns count="5">
    <x:tableColumn id="1" name="Table"/>
    <x:tableColumn id="2" name="Grain"/>
    <x:tableColumn id="3" name="Primary_Key"/>
    <x:tableColumn id="4" name="Purpose"/>
    <x:tableColumn id="5" name="PowerBI_Role"/>
  </x:tableColumns>
  <x:tableStyleInfo name="TableStyleMedium2" showRowStripes="1"/>
</x:table>
</file>

<file path=xl/tables/table19.xml><?xml version="1.0" encoding="utf-8"?>
<x:table xmlns:x="http://schemas.openxmlformats.org/spreadsheetml/2006/main" id="19" name="DataSourcesTable" displayName="DataSourcesTable" ref="A5:E35" headerRowCount="1">
  <x:tableColumns count="5">
    <x:tableColumn id="1" name="Source_Table"/>
    <x:tableColumn id="2" name="Relative_Path"/>
    <x:tableColumn id="3" name="Row_Count"/>
    <x:tableColumn id="4" name="Refresh_Method"/>
    <x:tableColumn id="5" name="Master_Workbook_U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3569d47aca94dbc" /></Relationships>
</file>

<file path=xl/worksheets/_rels/sheet3.xml.rels>&#65279;<?xml version="1.0" encoding="utf-8"?><Relationships xmlns="http://schemas.openxmlformats.org/package/2006/relationships"><Relationship Type="http://schemas.openxmlformats.org/officeDocument/2006/relationships/table" Target="/xl/tables/table1.xml" Id="R1f99ebd2c92745fd" /></Relationships>
</file>

<file path=xl/worksheets/_rels/sheet4.xml.rels>&#65279;<?xml version="1.0" encoding="utf-8"?><Relationships xmlns="http://schemas.openxmlformats.org/package/2006/relationships"><Relationship Type="http://schemas.openxmlformats.org/officeDocument/2006/relationships/table" Target="/xl/tables/table2.xml" Id="R3c6a8cc0a8dc43f4" /></Relationships>
</file>

<file path=xl/worksheets/_rels/sheet5.xml.rels>&#65279;<?xml version="1.0" encoding="utf-8"?><Relationships xmlns="http://schemas.openxmlformats.org/package/2006/relationships"><Relationship Type="http://schemas.openxmlformats.org/officeDocument/2006/relationships/table" Target="/xl/tables/table3.xml" Id="R9848aac528ad487f" /></Relationships>
</file>

<file path=xl/worksheets/_rels/sheet6.xml.rels>&#65279;<?xml version="1.0" encoding="utf-8"?><Relationships xmlns="http://schemas.openxmlformats.org/package/2006/relationships"><Relationship Type="http://schemas.openxmlformats.org/officeDocument/2006/relationships/table" Target="/xl/tables/table4.xml" Id="R00b9fb560d914eba" /></Relationships>
</file>

<file path=xl/worksheets/_rels/sheet7.xml.rels>&#65279;<?xml version="1.0" encoding="utf-8"?><Relationships xmlns="http://schemas.openxmlformats.org/package/2006/relationships"><Relationship Type="http://schemas.openxmlformats.org/officeDocument/2006/relationships/table" Target="/xl/tables/table5.xml" Id="Refb14cd66cd84661" /></Relationships>
</file>

<file path=xl/worksheets/_rels/sheet8.xml.rels>&#65279;<?xml version="1.0" encoding="utf-8"?><Relationships xmlns="http://schemas.openxmlformats.org/package/2006/relationships"><Relationship Type="http://schemas.openxmlformats.org/officeDocument/2006/relationships/table" Target="/xl/tables/table6.xml" Id="R5c90fb8b49d147fe" /></Relationships>
</file>

<file path=xl/worksheets/_rels/sheet9.xml.rels>&#65279;<?xml version="1.0" encoding="utf-8"?><Relationships xmlns="http://schemas.openxmlformats.org/package/2006/relationships"><Relationship Type="http://schemas.openxmlformats.org/officeDocument/2006/relationships/table" Target="/xl/tables/table7.xml" Id="Rceb81f03646d4a73" /></Relationships>
</file>

<file path=xl/worksheets/_rels/sheet10.xml.rels>&#65279;<?xml version="1.0" encoding="utf-8"?><Relationships xmlns="http://schemas.openxmlformats.org/package/2006/relationships"><Relationship Type="http://schemas.openxmlformats.org/officeDocument/2006/relationships/table" Target="/xl/tables/table8.xml" Id="R51f233d6e81c4a64" /></Relationships>
</file>

<file path=xl/worksheets/_rels/sheet11.xml.rels>&#65279;<?xml version="1.0" encoding="utf-8"?><Relationships xmlns="http://schemas.openxmlformats.org/package/2006/relationships"><Relationship Type="http://schemas.openxmlformats.org/officeDocument/2006/relationships/table" Target="/xl/tables/table9.xml" Id="R2b613cf859a94b3a" /></Relationships>
</file>

<file path=xl/worksheets/_rels/sheet12.xml.rels>&#65279;<?xml version="1.0" encoding="utf-8"?><Relationships xmlns="http://schemas.openxmlformats.org/package/2006/relationships"><Relationship Type="http://schemas.openxmlformats.org/officeDocument/2006/relationships/table" Target="/xl/tables/table10.xml" Id="R17ec54aab41f4ad2" /></Relationships>
</file>

<file path=xl/worksheets/_rels/sheet13.xml.rels>&#65279;<?xml version="1.0" encoding="utf-8"?><Relationships xmlns="http://schemas.openxmlformats.org/package/2006/relationships"><Relationship Type="http://schemas.openxmlformats.org/officeDocument/2006/relationships/table" Target="/xl/tables/table11.xml" Id="Rbdb40711c6a04ccd" /></Relationships>
</file>

<file path=xl/worksheets/_rels/sheet14.xml.rels>&#65279;<?xml version="1.0" encoding="utf-8"?><Relationships xmlns="http://schemas.openxmlformats.org/package/2006/relationships"><Relationship Type="http://schemas.openxmlformats.org/officeDocument/2006/relationships/table" Target="/xl/tables/table12.xml" Id="R3c0f71b418744a32" /></Relationships>
</file>

<file path=xl/worksheets/_rels/sheet15.xml.rels>&#65279;<?xml version="1.0" encoding="utf-8"?><Relationships xmlns="http://schemas.openxmlformats.org/package/2006/relationships"><Relationship Type="http://schemas.openxmlformats.org/officeDocument/2006/relationships/table" Target="/xl/tables/table13.xml" Id="R415548a26e16434f" /></Relationships>
</file>

<file path=xl/worksheets/_rels/sheet16.xml.rels>&#65279;<?xml version="1.0" encoding="utf-8"?><Relationships xmlns="http://schemas.openxmlformats.org/package/2006/relationships"><Relationship Type="http://schemas.openxmlformats.org/officeDocument/2006/relationships/table" Target="/xl/tables/table14.xml" Id="Rd51b629d617d4486" /></Relationships>
</file>

<file path=xl/worksheets/_rels/sheet17.xml.rels>&#65279;<?xml version="1.0" encoding="utf-8"?><Relationships xmlns="http://schemas.openxmlformats.org/package/2006/relationships"><Relationship Type="http://schemas.openxmlformats.org/officeDocument/2006/relationships/table" Target="/xl/tables/table15.xml" Id="Rf6b44d18662f4365" /></Relationships>
</file>

<file path=xl/worksheets/_rels/sheet18.xml.rels>&#65279;<?xml version="1.0" encoding="utf-8"?><Relationships xmlns="http://schemas.openxmlformats.org/package/2006/relationships"><Relationship Type="http://schemas.openxmlformats.org/officeDocument/2006/relationships/table" Target="/xl/tables/table16.xml" Id="R29c4f25534ba402d" /></Relationships>
</file>

<file path=xl/worksheets/_rels/sheet19.xml.rels>&#65279;<?xml version="1.0" encoding="utf-8"?><Relationships xmlns="http://schemas.openxmlformats.org/package/2006/relationships"><Relationship Type="http://schemas.openxmlformats.org/officeDocument/2006/relationships/table" Target="/xl/tables/table17.xml" Id="R3078e17381bb452e" /></Relationships>
</file>

<file path=xl/worksheets/_rels/sheet20.xml.rels>&#65279;<?xml version="1.0" encoding="utf-8"?><Relationships xmlns="http://schemas.openxmlformats.org/package/2006/relationships"><Relationship Type="http://schemas.openxmlformats.org/officeDocument/2006/relationships/table" Target="/xl/tables/table18.xml" Id="Rb6b87c874f1a40bb" /></Relationships>
</file>

<file path=xl/worksheets/_rels/sheet21.xml.rels>&#65279;<?xml version="1.0" encoding="utf-8"?><Relationships xmlns="http://schemas.openxmlformats.org/package/2006/relationships"><Relationship Type="http://schemas.openxmlformats.org/officeDocument/2006/relationships/table" Target="/xl/tables/table19.xml" Id="R0b617e2b7ac34536"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5" t="str">
        <x:v>SABIA GROUP | HRBP-LED SMARTWATCH BUSINESS RECOVERY</x:v>
      </x:c>
      <x:c r="B1" s="5"/>
      <x:c r="C1" s="5"/>
      <x:c r="D1" s="5"/>
      <x:c r="E1" s="5"/>
      <x:c r="F1" s="5"/>
      <x:c r="G1" s="5"/>
      <x:c r="H1" s="5"/>
      <x:c r="I1" s="5"/>
      <x:c r="J1" s="5"/>
      <x:c r="K1" s="5"/>
      <x:c r="L1" s="5"/>
      <x:c r="N1" t="str">
        <x:v>Quarter</x:v>
      </x:c>
      <x:c r="O1" t="str">
        <x:v>Operating Profit (M BDT)</x:v>
      </x:c>
      <x:c r="Q1" t="str">
        <x:v>Quarter</x:v>
      </x:c>
      <x:c r="R1" t="str">
        <x:v>Active Headcount</x:v>
      </x:c>
    </x:row>
    <x:row r="2">
      <x:c r="A2" s="5"/>
      <x:c r="B2" s="5"/>
      <x:c r="C2" s="5"/>
      <x:c r="D2" s="5"/>
      <x:c r="E2" s="5"/>
      <x:c r="F2" s="5"/>
      <x:c r="G2" s="5"/>
      <x:c r="H2" s="5"/>
      <x:c r="I2" s="5"/>
      <x:c r="J2" s="5"/>
      <x:c r="K2" s="5"/>
      <x:c r="L2" s="5"/>
      <x:c r="N2" t="str">
        <x:v>Q1</x:v>
      </x:c>
      <x:c r="O2" s="82" t="n">
        <x:v>-52.67</x:v>
      </x:c>
      <x:c r="Q2" t="str">
        <x:v>Q1</x:v>
      </x:c>
      <x:c r="R2" t="n">
        <x:v>52</x:v>
      </x:c>
    </x:row>
    <x:row r="3">
      <x:c r="A3" s="13" t="str">
        <x:v>Made-in-Bangladesh smartwatch | 100-person baseline → Q1 workforce reset → Q2 pilot → Q3 scale → Q4 enterprise approval</x:v>
      </x:c>
      <x:c r="B3" s="13"/>
      <x:c r="C3" s="13"/>
      <x:c r="D3" s="13"/>
      <x:c r="E3" s="13"/>
      <x:c r="F3" s="13"/>
      <x:c r="G3" s="13"/>
      <x:c r="H3" s="13"/>
      <x:c r="I3" s="13"/>
      <x:c r="J3" s="13"/>
      <x:c r="K3" s="13"/>
      <x:c r="L3" s="13"/>
      <x:c r="N3" t="str">
        <x:v>Q2</x:v>
      </x:c>
      <x:c r="O3" s="82" t="n">
        <x:v>-22.71</x:v>
      </x:c>
      <x:c r="Q3" t="str">
        <x:v>Q2</x:v>
      </x:c>
      <x:c r="R3" t="n">
        <x:v>70</x:v>
      </x:c>
    </x:row>
    <x:row r="4">
      <x:c r="N4" t="str">
        <x:v>Q3</x:v>
      </x:c>
      <x:c r="O4" s="82" t="n">
        <x:v>10.09</x:v>
      </x:c>
      <x:c r="Q4" t="str">
        <x:v>Q3</x:v>
      </x:c>
      <x:c r="R4" t="n">
        <x:v>99</x:v>
      </x:c>
    </x:row>
    <x:row r="5">
      <x:c r="A5" s="21" t="str">
        <x:v>Q4 ACTIVE HEADCOUNT</x:v>
      </x:c>
      <x:c r="B5" s="21"/>
      <x:c r="C5" s="21"/>
      <x:c r="D5" s="39" t="str">
        <x:v>Q4 OPERATING PROFIT</x:v>
      </x:c>
      <x:c r="E5" s="39"/>
      <x:c r="F5" s="39"/>
      <x:c r="G5" s="49" t="str">
        <x:v>FIRST PASS YIELD</x:v>
      </x:c>
      <x:c r="H5" s="49"/>
      <x:c r="I5" s="49"/>
      <x:c r="J5" s="59" t="str">
        <x:v>DEFECT RATE</x:v>
      </x:c>
      <x:c r="K5" s="59"/>
      <x:c r="L5" s="59"/>
      <x:c r="N5" t="str">
        <x:v>Q4</x:v>
      </x:c>
      <x:c r="O5" s="82" t="n">
        <x:v>64.02</x:v>
      </x:c>
      <x:c r="Q5" t="str">
        <x:v>Q4</x:v>
      </x:c>
      <x:c r="R5" t="n">
        <x:v>114</x:v>
      </x:c>
    </x:row>
    <x:row r="6">
      <x:c r="A6" s="21"/>
      <x:c r="B6" s="21"/>
      <x:c r="C6" s="21"/>
      <x:c r="D6" s="39"/>
      <x:c r="E6" s="39"/>
      <x:c r="F6" s="39"/>
      <x:c r="G6" s="49"/>
      <x:c r="H6" s="49"/>
      <x:c r="I6" s="49"/>
      <x:c r="J6" s="59"/>
      <x:c r="K6" s="59"/>
      <x:c r="L6" s="59"/>
    </x:row>
    <x:row r="7">
      <x:c r="A7" s="34" t="n">
        <x:f>'KPI Scorecard'!F7</x:f>
        <x:v>114</x:v>
      </x:c>
      <x:c r="B7" s="29"/>
      <x:c r="C7" s="29"/>
      <x:c r="D7" s="44" t="n">
        <x:f>'KPI Scorecard'!F23</x:f>
        <x:v>64.02</x:v>
      </x:c>
      <x:c r="E7" s="29"/>
      <x:c r="F7" s="29"/>
      <x:c r="G7" s="54" t="n">
        <x:f>'KPI Scorecard'!F19</x:f>
        <x:v>0.971</x:v>
      </x:c>
      <x:c r="H7" s="29"/>
      <x:c r="I7" s="29"/>
      <x:c r="J7" s="54" t="n">
        <x:f>'KPI Scorecard'!F20</x:f>
        <x:v>0.024</x:v>
      </x:c>
      <x:c r="K7" s="29"/>
      <x:c r="L7" s="29"/>
    </x:row>
    <x:row r="8">
      <x:c r="A8" s="29"/>
      <x:c r="B8" s="29"/>
      <x:c r="C8" s="29"/>
      <x:c r="D8" s="29"/>
      <x:c r="E8" s="29"/>
      <x:c r="F8" s="29"/>
      <x:c r="G8" s="29"/>
      <x:c r="H8" s="29"/>
      <x:c r="I8" s="29"/>
      <x:c r="J8" s="29"/>
      <x:c r="K8" s="29"/>
      <x:c r="L8" s="29"/>
      <x:c r="N8" t="str">
        <x:v>Quarter</x:v>
      </x:c>
      <x:c r="O8" t="str">
        <x:v>First Pass Yield</x:v>
      </x:c>
      <x:c r="P8" t="str">
        <x:v>Defect Rate</x:v>
      </x:c>
    </x:row>
    <x:row r="9">
      <x:c r="N9" t="str">
        <x:v>Q1</x:v>
      </x:c>
      <x:c r="O9" s="84" t="n">
        <x:v>0.63</x:v>
      </x:c>
      <x:c r="P9" s="84" t="n">
        <x:v>0.182</x:v>
      </x:c>
    </x:row>
    <x:row r="10">
      <x:c r="A10" s="66" t="str">
        <x:v>HR PILLAR MATURITY</x:v>
      </x:c>
      <x:c r="B10" s="66"/>
      <x:c r="C10" s="66"/>
      <x:c r="D10" s="21" t="str">
        <x:v>CRITICAL SKILL CERT.</x:v>
      </x:c>
      <x:c r="E10" s="21"/>
      <x:c r="F10" s="21"/>
      <x:c r="G10" s="49" t="str">
        <x:v>HR SERVICE SLA</x:v>
      </x:c>
      <x:c r="H10" s="49"/>
      <x:c r="I10" s="49"/>
      <x:c r="J10" s="59" t="str">
        <x:v>HRIS ADOPTION</x:v>
      </x:c>
      <x:c r="K10" s="59"/>
      <x:c r="L10" s="59"/>
      <x:c r="N10" t="str">
        <x:v>Q2</x:v>
      </x:c>
      <x:c r="O10" s="84" t="n">
        <x:v>0.81</x:v>
      </x:c>
      <x:c r="P10" s="84" t="n">
        <x:v>0.102</x:v>
      </x:c>
    </x:row>
    <x:row r="11">
      <x:c r="A11" s="66"/>
      <x:c r="B11" s="66"/>
      <x:c r="C11" s="66"/>
      <x:c r="D11" s="21"/>
      <x:c r="E11" s="21"/>
      <x:c r="F11" s="21"/>
      <x:c r="G11" s="49"/>
      <x:c r="H11" s="49"/>
      <x:c r="I11" s="49"/>
      <x:c r="J11" s="59"/>
      <x:c r="K11" s="59"/>
      <x:c r="L11" s="59"/>
      <x:c r="N11" t="str">
        <x:v>Q3</x:v>
      </x:c>
      <x:c r="O11" s="84" t="n">
        <x:v>0.92</x:v>
      </x:c>
      <x:c r="P11" s="84" t="n">
        <x:v>0.051</x:v>
      </x:c>
    </x:row>
    <x:row r="12">
      <x:c r="A12" s="70" t="n">
        <x:f>'KPI Scorecard'!F6</x:f>
        <x:v>90</x:v>
      </x:c>
      <x:c r="B12" s="29"/>
      <x:c r="C12" s="29"/>
      <x:c r="D12" s="54" t="n">
        <x:f>'KPI Scorecard'!F10</x:f>
        <x:v>0.88</x:v>
      </x:c>
      <x:c r="E12" s="29"/>
      <x:c r="F12" s="29"/>
      <x:c r="G12" s="54" t="n">
        <x:f>'KPI Scorecard'!F17</x:f>
        <x:v>0.95</x:v>
      </x:c>
      <x:c r="H12" s="29"/>
      <x:c r="I12" s="29"/>
      <x:c r="J12" s="54" t="n">
        <x:f>'KPI Scorecard'!F18</x:f>
        <x:v>0.97</x:v>
      </x:c>
      <x:c r="K12" s="29"/>
      <x:c r="L12" s="29"/>
      <x:c r="N12" t="str">
        <x:v>Q4</x:v>
      </x:c>
      <x:c r="O12" s="84" t="n">
        <x:v>0.971</x:v>
      </x:c>
      <x:c r="P12" s="84" t="n">
        <x:v>0.024</x:v>
      </x:c>
    </x:row>
    <x:row r="13">
      <x:c r="A13" s="29"/>
      <x:c r="B13" s="29"/>
      <x:c r="C13" s="29"/>
      <x:c r="D13" s="29"/>
      <x:c r="E13" s="29"/>
      <x:c r="F13" s="29"/>
      <x:c r="G13" s="29"/>
      <x:c r="H13" s="29"/>
      <x:c r="I13" s="29"/>
      <x:c r="J13" s="29"/>
      <x:c r="K13" s="29"/>
      <x:c r="L13" s="29"/>
    </x:row>
    <x:row r="15">
      <x:c r="A15" s="75" t="str">
        <x:v>Decision story: Sabia skipped MVP/prototype validation and entered production too early. The HRBP linked workforce capability, line quality, service delivery and HR technology to unit economics. The board approved scale only after the Q2 pilot outperformed the control group.</x:v>
      </x:c>
      <x:c r="B15" s="75"/>
      <x:c r="C15" s="75"/>
      <x:c r="D15" s="75"/>
      <x:c r="E15" s="75"/>
      <x:c r="F15" s="75"/>
      <x:c r="G15" s="75"/>
      <x:c r="H15" s="75"/>
      <x:c r="I15" s="75"/>
      <x:c r="J15" s="75"/>
      <x:c r="K15" s="75"/>
      <x:c r="L15" s="75"/>
      <x:c r="N15" t="str">
        <x:v>Pillar</x:v>
      </x:c>
      <x:c r="O15" t="str">
        <x:v>Q4 Score</x:v>
      </x:c>
    </x:row>
    <x:row r="16">
      <x:c r="A16" s="75"/>
      <x:c r="B16" s="75"/>
      <x:c r="C16" s="75"/>
      <x:c r="D16" s="75"/>
      <x:c r="E16" s="75"/>
      <x:c r="F16" s="75"/>
      <x:c r="G16" s="75"/>
      <x:c r="H16" s="75"/>
      <x:c r="I16" s="75"/>
      <x:c r="J16" s="75"/>
      <x:c r="K16" s="75"/>
      <x:c r="L16" s="75"/>
      <x:c r="N16" t="str">
        <x:v>Workforce Strategy</x:v>
      </x:c>
      <x:c r="O16" s="80" t="n">
        <x:v>90</x:v>
      </x:c>
    </x:row>
    <x:row r="17">
      <x:c r="N17" t="str">
        <x:v>Organization Design</x:v>
      </x:c>
      <x:c r="O17" s="80" t="n">
        <x:v>88</x:v>
      </x:c>
    </x:row>
    <x:row r="18">
      <x:c r="N18" t="str">
        <x:v>HR Services</x:v>
      </x:c>
      <x:c r="O18" s="80" t="n">
        <x:v>93</x:v>
      </x:c>
    </x:row>
    <x:row r="19">
      <x:c r="N19" t="str">
        <x:v>HR Technology</x:v>
      </x:c>
      <x:c r="O19" s="80" t="n">
        <x:v>96</x:v>
      </x:c>
    </x:row>
    <x:row r="20">
      <x:c r="N20" t="str">
        <x:v>Talent Acquisition and Recruitment</x:v>
      </x:c>
      <x:c r="O20" s="80" t="n">
        <x:v>91</x:v>
      </x:c>
    </x:row>
    <x:row r="21">
      <x:c r="N21" t="str">
        <x:v>Talent Management</x:v>
      </x:c>
      <x:c r="O21" s="80" t="n">
        <x:v>86</x:v>
      </x:c>
    </x:row>
    <x:row r="22">
      <x:c r="N22" t="str">
        <x:v>Legal Regulatory and Compliance</x:v>
      </x:c>
      <x:c r="O22" s="80" t="n">
        <x:v>95</x:v>
      </x:c>
    </x:row>
    <x:row r="23">
      <x:c r="N23" t="str">
        <x:v>Performance Management</x:v>
      </x:c>
      <x:c r="O23" s="80" t="n">
        <x:v>92</x:v>
      </x:c>
    </x:row>
    <x:row r="24">
      <x:c r="N24" t="str">
        <x:v>Rewards and Recognition</x:v>
      </x:c>
      <x:c r="O24" s="80" t="n">
        <x:v>85</x:v>
      </x:c>
    </x:row>
    <x:row r="25">
      <x:c r="N25" t="str">
        <x:v>Career Development</x:v>
      </x:c>
      <x:c r="O25" s="80" t="n">
        <x:v>87</x:v>
      </x:c>
    </x:row>
    <x:row r="26">
      <x:c r="N26" t="str">
        <x:v>Employee Relations</x:v>
      </x:c>
      <x:c r="O26" s="80" t="n">
        <x:v>93</x:v>
      </x:c>
    </x:row>
    <x:row r="27">
      <x:c r="N27" t="str">
        <x:v>Employee Exits</x:v>
      </x:c>
      <x:c r="O27" s="80" t="n">
        <x:v>87</x:v>
      </x:c>
    </x:row>
  </x:sheetData>
  <x:mergeCells>
    <x:mergeCell ref="A1:L2"/>
    <x:mergeCell ref="A3:L3"/>
    <x:mergeCell ref="A5:C6"/>
    <x:mergeCell ref="A7:C8"/>
    <x:mergeCell ref="D5:F6"/>
    <x:mergeCell ref="D7:F8"/>
    <x:mergeCell ref="G5:I6"/>
    <x:mergeCell ref="G7:I8"/>
    <x:mergeCell ref="J5:L6"/>
    <x:mergeCell ref="J7:L8"/>
    <x:mergeCell ref="A10:C11"/>
    <x:mergeCell ref="A12:C13"/>
    <x:mergeCell ref="D10:F11"/>
    <x:mergeCell ref="D12:F13"/>
    <x:mergeCell ref="G10:I11"/>
    <x:mergeCell ref="G12:I13"/>
    <x:mergeCell ref="J10:L11"/>
    <x:mergeCell ref="J12:L13"/>
    <x:mergeCell ref="A15:L16"/>
  </x:mergeCells>
  <x:pageMargins left="0.7" right="0.7" top="0.75" bottom="0.75" header="0.3" footer="0.3"/>
  <x:drawing xmlns:r="http://schemas.openxmlformats.org/officeDocument/2006/relationships" r:id="R53569d47aca94dbc"/>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x:c r="A1" s="88" t="str">
        <x:v>Problem Declaration and Business Recovery Narrative</x:v>
      </x:c>
      <x:c r="B1" s="88"/>
      <x:c r="C1" s="88"/>
      <x:c r="D1" s="88"/>
      <x:c r="E1" s="88"/>
      <x:c r="F1" s="88"/>
      <x:c r="G1" s="88"/>
      <x:c r="H1" s="88"/>
      <x:c r="I1" s="88"/>
      <x:c r="J1" s="88"/>
      <x:c r="K1" s="88"/>
      <x:c r="L1" s="88"/>
    </x:row>
    <x:row r="2">
      <x:c r="A2" s="88"/>
      <x:c r="B2" s="88"/>
      <x:c r="C2" s="88"/>
      <x:c r="D2" s="88"/>
      <x:c r="E2" s="88"/>
      <x:c r="F2" s="88"/>
      <x:c r="G2" s="88"/>
      <x:c r="H2" s="88"/>
      <x:c r="I2" s="88"/>
      <x:c r="J2" s="88"/>
      <x:c r="K2" s="88"/>
      <x:c r="L2" s="88"/>
    </x:row>
    <x:row r="3">
      <x:c r="A3" s="13" t="str">
        <x:v>Synthetic Bangladesh manufacturing case; all people and events are fictional.</x:v>
      </x:c>
      <x:c r="B3" s="13"/>
      <x:c r="C3" s="13"/>
      <x:c r="D3" s="13"/>
      <x:c r="E3" s="13"/>
      <x:c r="F3" s="13"/>
      <x:c r="G3" s="13"/>
      <x:c r="H3" s="13"/>
      <x:c r="I3" s="13"/>
      <x:c r="J3" s="13"/>
      <x:c r="K3" s="13"/>
      <x:c r="L3" s="13"/>
    </x:row>
    <x:row r="5">
      <x:c r="A5" s="94" t="str">
        <x:v>Sabia moved directly into production without validating an MVP or prototype. Heavy investment, weak skill availability, poor process design and uncontrolled hiring produced high defect, rework, overtime and operating loss. The shareholders began considering a business sale.</x:v>
      </x:c>
      <x:c r="B5" s="94"/>
      <x:c r="C5" s="94"/>
      <x:c r="D5" s="94"/>
      <x:c r="E5" s="94"/>
      <x:c r="F5" s="94"/>
      <x:c r="G5" s="94"/>
      <x:c r="H5" s="94"/>
      <x:c r="I5" s="94"/>
      <x:c r="J5" s="94"/>
      <x:c r="K5" s="94"/>
      <x:c r="L5" s="94"/>
    </x:row>
    <x:row r="6">
      <x:c r="A6" s="94"/>
      <x:c r="B6" s="94"/>
      <x:c r="C6" s="94"/>
      <x:c r="D6" s="94"/>
      <x:c r="E6" s="94"/>
      <x:c r="F6" s="94"/>
      <x:c r="G6" s="94"/>
      <x:c r="H6" s="94"/>
      <x:c r="I6" s="94"/>
      <x:c r="J6" s="94"/>
      <x:c r="K6" s="94"/>
      <x:c r="L6" s="94"/>
    </x:row>
    <x:row r="7">
      <x:c r="A7" s="94"/>
      <x:c r="B7" s="94"/>
      <x:c r="C7" s="94"/>
      <x:c r="D7" s="94"/>
      <x:c r="E7" s="94"/>
      <x:c r="F7" s="94"/>
      <x:c r="G7" s="94"/>
      <x:c r="H7" s="94"/>
      <x:c r="I7" s="94"/>
      <x:c r="J7" s="94"/>
      <x:c r="K7" s="94"/>
      <x:c r="L7" s="94"/>
    </x:row>
    <x:row r="8">
      <x:c r="A8" s="94"/>
      <x:c r="B8" s="94"/>
      <x:c r="C8" s="94"/>
      <x:c r="D8" s="94"/>
      <x:c r="E8" s="94"/>
      <x:c r="F8" s="94"/>
      <x:c r="G8" s="94"/>
      <x:c r="H8" s="94"/>
      <x:c r="I8" s="94"/>
      <x:c r="J8" s="94"/>
      <x:c r="K8" s="94"/>
      <x:c r="L8" s="94"/>
    </x:row>
    <x:row r="10">
      <x:c r="A10" s="100" t="str">
        <x:v>WHY THE HRBP WAS HIRED
• Direct-to-production without MVP or prototype validation
• Heavy investment and sustained operating loss
• Scarce precision manufacturing and embedded-system skills
• Role duplication, capability mismatch and poor people data
• Shareholders considering sale of the business</x:v>
      </x:c>
      <x:c r="B10" s="100"/>
      <x:c r="C10" s="100"/>
      <x:c r="D10" s="100"/>
      <x:c r="E10" s="100"/>
      <x:c r="F10" s="100"/>
      <x:c r="G10" s="107" t="str">
        <x:v>DUAL ROLE AND MANDATE
Lead HR Business Partner + Head of HR / Acting CHRO
Diagnose business loss through people data; redesign the organization; execute a fair workforce reset; hire critical talent; build certification and performance systems; and scale only after pilot evidence.</x:v>
      </x:c>
      <x:c r="H10" s="107"/>
      <x:c r="I10" s="107"/>
      <x:c r="J10" s="107"/>
      <x:c r="K10" s="107"/>
      <x:c r="L10" s="107"/>
    </x:row>
    <x:row r="11">
      <x:c r="A11" s="100"/>
      <x:c r="B11" s="100"/>
      <x:c r="C11" s="100"/>
      <x:c r="D11" s="100"/>
      <x:c r="E11" s="100"/>
      <x:c r="F11" s="100"/>
      <x:c r="G11" s="107"/>
      <x:c r="H11" s="107"/>
      <x:c r="I11" s="107"/>
      <x:c r="J11" s="107"/>
      <x:c r="K11" s="107"/>
      <x:c r="L11" s="107"/>
    </x:row>
    <x:row r="12">
      <x:c r="A12" s="100"/>
      <x:c r="B12" s="100"/>
      <x:c r="C12" s="100"/>
      <x:c r="D12" s="100"/>
      <x:c r="E12" s="100"/>
      <x:c r="F12" s="100"/>
      <x:c r="G12" s="107"/>
      <x:c r="H12" s="107"/>
      <x:c r="I12" s="107"/>
      <x:c r="J12" s="107"/>
      <x:c r="K12" s="107"/>
      <x:c r="L12" s="107"/>
    </x:row>
    <x:row r="13">
      <x:c r="A13" s="100"/>
      <x:c r="B13" s="100"/>
      <x:c r="C13" s="100"/>
      <x:c r="D13" s="100"/>
      <x:c r="E13" s="100"/>
      <x:c r="F13" s="100"/>
      <x:c r="G13" s="107"/>
      <x:c r="H13" s="107"/>
      <x:c r="I13" s="107"/>
      <x:c r="J13" s="107"/>
      <x:c r="K13" s="107"/>
      <x:c r="L13" s="107"/>
    </x:row>
    <x:row r="14">
      <x:c r="A14" s="100"/>
      <x:c r="B14" s="100"/>
      <x:c r="C14" s="100"/>
      <x:c r="D14" s="100"/>
      <x:c r="E14" s="100"/>
      <x:c r="F14" s="100"/>
      <x:c r="G14" s="107"/>
      <x:c r="H14" s="107"/>
      <x:c r="I14" s="107"/>
      <x:c r="J14" s="107"/>
      <x:c r="K14" s="107"/>
      <x:c r="L14" s="107"/>
    </x:row>
    <x:row r="15">
      <x:c r="A15" s="100"/>
      <x:c r="B15" s="100"/>
      <x:c r="C15" s="100"/>
      <x:c r="D15" s="100"/>
      <x:c r="E15" s="100"/>
      <x:c r="F15" s="100"/>
      <x:c r="G15" s="107"/>
      <x:c r="H15" s="107"/>
      <x:c r="I15" s="107"/>
      <x:c r="J15" s="107"/>
      <x:c r="K15" s="107"/>
      <x:c r="L15" s="107"/>
    </x:row>
    <x:row r="16">
      <x:c r="A16" s="100"/>
      <x:c r="B16" s="100"/>
      <x:c r="C16" s="100"/>
      <x:c r="D16" s="100"/>
      <x:c r="E16" s="100"/>
      <x:c r="F16" s="100"/>
      <x:c r="G16" s="107"/>
      <x:c r="H16" s="107"/>
      <x:c r="I16" s="107"/>
      <x:c r="J16" s="107"/>
      <x:c r="K16" s="107"/>
      <x:c r="L16" s="107"/>
    </x:row>
    <x:row r="19">
      <x:c r="A19" s="112" t="str">
        <x:v>Q1–Q4 TRANSFORMATION LOGIC</x:v>
      </x:c>
      <x:c r="B19" s="112" t="str"/>
      <x:c r="C19" s="112" t="str"/>
      <x:c r="D19" s="112" t="str"/>
      <x:c r="E19" s="112" t="str"/>
      <x:c r="F19" s="112" t="str"/>
      <x:c r="G19" s="112" t="str"/>
      <x:c r="H19" s="112" t="str"/>
      <x:c r="I19" s="112" t="str"/>
      <x:c r="J19" s="112" t="str"/>
      <x:c r="K19" s="112" t="str"/>
      <x:c r="L19" s="112" t="str"/>
    </x:row>
    <x:row r="21">
      <x:c r="A21" s="115" t="str">
        <x:v>Quarter</x:v>
      </x:c>
      <x:c r="B21" s="115" t="str">
        <x:v>Business situation</x:v>
      </x:c>
      <x:c r="C21" s="115" t="str">
        <x:v>HRBP intervention</x:v>
      </x:c>
      <x:c r="D21" s="115" t="str">
        <x:v>Decision gate</x:v>
      </x:c>
      <x:c r="F21" s="127" t="str">
        <x:v>Business-partner logic
Skills → Behaviour → Process Quality → Output → Cost → Profitability
The project does not claim that layoffs alone create profit. The recovery depends on role clarity, critical-skill hiring, training, quality ownership, manager performance, HR services, technology adoption and disciplined scale decisions.</x:v>
      </x:c>
      <x:c r="G21" s="127"/>
      <x:c r="H21" s="127"/>
      <x:c r="I21" s="127"/>
      <x:c r="J21" s="127"/>
      <x:c r="K21" s="127"/>
      <x:c r="L21" s="127"/>
    </x:row>
    <x:row r="22">
      <x:c r="A22" s="120" t="str">
        <x:v>Q1</x:v>
      </x:c>
      <x:c r="B22" s="120" t="str">
        <x:v>100-person structure, high defect and critical sale risk</x:v>
      </x:c>
      <x:c r="C22" s="120" t="str">
        <x:v>Feasibility, KPI design, four scenarios and 48-role reset</x:v>
      </x:c>
      <x:c r="D22" s="120" t="str">
        <x:v>25-person pilot approved</x:v>
      </x:c>
      <x:c r="F22" s="127"/>
      <x:c r="G22" s="127"/>
      <x:c r="H22" s="127"/>
      <x:c r="I22" s="127"/>
      <x:c r="J22" s="127"/>
      <x:c r="K22" s="127"/>
      <x:c r="L22" s="127"/>
    </x:row>
    <x:row r="23">
      <x:c r="A23" s="120" t="str">
        <x:v>Q2</x:v>
      </x:c>
      <x:c r="B23" s="120" t="str">
        <x:v>Lower capacity but workload pressure remains</x:v>
      </x:c>
      <x:c r="C23" s="120" t="str">
        <x:v>Line A controlled pilot, certification, SLA and HRIS</x:v>
      </x:c>
      <x:c r="D23" s="120" t="str">
        <x:v>Scale approved with corrective actions</x:v>
      </x:c>
      <x:c r="F23" s="127"/>
      <x:c r="G23" s="127"/>
      <x:c r="H23" s="127"/>
      <x:c r="I23" s="127"/>
      <x:c r="J23" s="127"/>
      <x:c r="K23" s="127"/>
      <x:c r="L23" s="127"/>
    </x:row>
    <x:row r="24">
      <x:c r="A24" s="120" t="str">
        <x:v>Q3</x:v>
      </x:c>
      <x:c r="B24" s="120" t="str">
        <x:v>Demand and output recover</x:v>
      </x:c>
      <x:c r="C24" s="120" t="str">
        <x:v>Critical hiring, two-line scale, manager dashboard and recognition</x:v>
      </x:c>
      <x:c r="D24" s="120" t="str">
        <x:v>Enterprise rollout recommended</x:v>
      </x:c>
      <x:c r="F24" s="127"/>
      <x:c r="G24" s="127"/>
      <x:c r="H24" s="127"/>
      <x:c r="I24" s="127"/>
      <x:c r="J24" s="127"/>
      <x:c r="K24" s="127"/>
      <x:c r="L24" s="127"/>
    </x:row>
    <x:row r="25">
      <x:c r="A25" s="120" t="str">
        <x:v>Q4</x:v>
      </x:c>
      <x:c r="B25" s="120" t="str">
        <x:v>Business retained and profitable</x:v>
      </x:c>
      <x:c r="C25" s="120" t="str">
        <x:v>Group-wide operating model, integrated analytics and governance</x:v>
      </x:c>
      <x:c r="D25" s="120" t="str">
        <x:v>Fully approved</x:v>
      </x:c>
      <x:c r="F25" s="127"/>
      <x:c r="G25" s="127"/>
      <x:c r="H25" s="127"/>
      <x:c r="I25" s="127"/>
      <x:c r="J25" s="127"/>
      <x:c r="K25" s="127"/>
      <x:c r="L25" s="127"/>
    </x:row>
  </x:sheetData>
  <x:mergeCells>
    <x:mergeCell ref="A1:L2"/>
    <x:mergeCell ref="A3:L3"/>
    <x:mergeCell ref="A5:L8"/>
    <x:mergeCell ref="A10:F16"/>
    <x:mergeCell ref="G10:L16"/>
    <x:mergeCell ref="A19:L19"/>
    <x:mergeCell ref="F21:L25"/>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3" hidden="0" customWidth="1"/>
    <x:col min="3" max="3" width="30" hidden="0" customWidth="1"/>
    <x:col min="4" max="4" width="34" hidden="0" customWidth="1"/>
    <x:col min="5" max="5" width="30" hidden="0" customWidth="1"/>
  </x:cols>
  <x:sheetData>
    <x:row r="1">
      <x:c r="A1" s="88" t="str">
        <x:v>HR Pillars and Operating Model</x:v>
      </x:c>
      <x:c r="B1" s="88"/>
      <x:c r="C1" s="88"/>
      <x:c r="D1" s="88"/>
      <x:c r="E1" s="88"/>
    </x:row>
    <x:row r="2">
      <x:c r="A2" s="88"/>
      <x:c r="B2" s="88"/>
      <x:c r="C2" s="88"/>
      <x:c r="D2" s="88"/>
      <x:c r="E2" s="88"/>
    </x:row>
    <x:row r="3">
      <x:c r="A3" s="13" t="str">
        <x:v>People Strategy sits above four foundations and eight integrated HR practices.</x:v>
      </x:c>
      <x:c r="B3" s="13"/>
      <x:c r="C3" s="13"/>
      <x:c r="D3" s="13"/>
      <x:c r="E3" s="13"/>
    </x:row>
    <x:row r="5" ht="30" customHeight="1">
      <x:c r="A5" s="135" t="str">
        <x:v>Layer</x:v>
      </x:c>
      <x:c r="B5" s="135" t="str">
        <x:v>Pillar_ID</x:v>
      </x:c>
      <x:c r="C5" s="135" t="str">
        <x:v>Pillar</x:v>
      </x:c>
      <x:c r="D5" s="135" t="str">
        <x:v>Purpose</x:v>
      </x:c>
      <x:c r="E5" s="135" t="str">
        <x:v>Primary_Data</x:v>
      </x:c>
    </x:row>
    <x:row r="6">
      <x:c r="A6" s="141" t="str">
        <x:v>Roof</x:v>
      </x:c>
      <x:c r="B6" s="141" t="str">
        <x:v>PS</x:v>
      </x:c>
      <x:c r="C6" s="141" t="str">
        <x:v>People Strategy</x:v>
      </x:c>
      <x:c r="D6" s="141" t="str">
        <x:v>Connect workforce decisions with smartwatch quality, cost, speed and growth.</x:v>
      </x:c>
      <x:c r="E6" s="141" t="str">
        <x:v>Quarterly scorecard, workforce plan and financial impact</x:v>
      </x:c>
    </x:row>
    <x:row r="7">
      <x:c r="A7" s="141" t="str">
        <x:v>Foundation</x:v>
      </x:c>
      <x:c r="B7" s="141" t="str">
        <x:v>F1</x:v>
      </x:c>
      <x:c r="C7" s="141" t="str">
        <x:v>Workforce Strategy</x:v>
      </x:c>
      <x:c r="D7" s="141" t="str">
        <x:v>Forecast headcount, capability, labour cost and capacity.</x:v>
      </x:c>
      <x:c r="E7" s="141" t="str">
        <x:v>Employee master, workforce scenarios and recruitment</x:v>
      </x:c>
    </x:row>
    <x:row r="8">
      <x:c r="A8" s="141" t="str">
        <x:v>Foundation</x:v>
      </x:c>
      <x:c r="B8" s="141" t="str">
        <x:v>F2</x:v>
      </x:c>
      <x:c r="C8" s="141" t="str">
        <x:v>Organization Design</x:v>
      </x:c>
      <x:c r="D8" s="141" t="str">
        <x:v>Define structure, spans, layers, roles and decision rights.</x:v>
      </x:c>
      <x:c r="E8" s="141" t="str">
        <x:v>Department, position and restructuring data</x:v>
      </x:c>
    </x:row>
    <x:row r="9">
      <x:c r="A9" s="141" t="str">
        <x:v>Foundation</x:v>
      </x:c>
      <x:c r="B9" s="141" t="str">
        <x:v>F3</x:v>
      </x:c>
      <x:c r="C9" s="141" t="str">
        <x:v>HR Services</x:v>
      </x:c>
      <x:c r="D9" s="141" t="str">
        <x:v>Deliver consistent employee services with measurable SLAs.</x:v>
      </x:c>
      <x:c r="E9" s="141" t="str">
        <x:v>HR service tickets and employee relations</x:v>
      </x:c>
    </x:row>
    <x:row r="10">
      <x:c r="A10" s="141" t="str">
        <x:v>Foundation</x:v>
      </x:c>
      <x:c r="B10" s="141" t="str">
        <x:v>F4</x:v>
      </x:c>
      <x:c r="C10" s="141" t="str">
        <x:v>HR Technology</x:v>
      </x:c>
      <x:c r="D10" s="141" t="str">
        <x:v>Enable HRIS, employee self-service, workflow and analytics.</x:v>
      </x:c>
      <x:c r="E10" s="141" t="str">
        <x:v>Technology adoption and data quality</x:v>
      </x:c>
    </x:row>
    <x:row r="11">
      <x:c r="A11" s="141" t="str">
        <x:v>Practice</x:v>
      </x:c>
      <x:c r="B11" s="141" t="str">
        <x:v>P1</x:v>
      </x:c>
      <x:c r="C11" s="141" t="str">
        <x:v>Talent Acquisition and Recruitment</x:v>
      </x:c>
      <x:c r="D11" s="141" t="str">
        <x:v>Hire scarce precision manufacturing and digital skills.</x:v>
      </x:c>
      <x:c r="E11" s="141" t="str">
        <x:v>Recruitment funnel</x:v>
      </x:c>
    </x:row>
    <x:row r="12">
      <x:c r="A12" s="141" t="str">
        <x:v>Practice</x:v>
      </x:c>
      <x:c r="B12" s="141" t="str">
        <x:v>P2</x:v>
      </x:c>
      <x:c r="C12" s="141" t="str">
        <x:v>Talent Management</x:v>
      </x:c>
      <x:c r="D12" s="141" t="str">
        <x:v>Identify, develop and retain critical talent.</x:v>
      </x:c>
      <x:c r="E12" s="141" t="str">
        <x:v>Performance, training and succession</x:v>
      </x:c>
    </x:row>
    <x:row r="13">
      <x:c r="A13" s="141" t="str">
        <x:v>Practice</x:v>
      </x:c>
      <x:c r="B13" s="141" t="str">
        <x:v>P3</x:v>
      </x:c>
      <x:c r="C13" s="141" t="str">
        <x:v>Legal Regulatory and Compliance</x:v>
      </x:c>
      <x:c r="D13" s="141" t="str">
        <x:v>Maintain labour, EHS and product-compliance readiness.</x:v>
      </x:c>
      <x:c r="E13" s="141" t="str">
        <x:v>Audit, training and ER records</x:v>
      </x:c>
    </x:row>
    <x:row r="14">
      <x:c r="A14" s="141" t="str">
        <x:v>Practice</x:v>
      </x:c>
      <x:c r="B14" s="141" t="str">
        <x:v>P4</x:v>
      </x:c>
      <x:c r="C14" s="141" t="str">
        <x:v>Performance Management</x:v>
      </x:c>
      <x:c r="D14" s="141" t="str">
        <x:v>Translate business targets into team and individual KPIs.</x:v>
      </x:c>
      <x:c r="E14" s="141" t="str">
        <x:v>Performance scorecard and production</x:v>
      </x:c>
    </x:row>
    <x:row r="15">
      <x:c r="A15" s="141" t="str">
        <x:v>Practice</x:v>
      </x:c>
      <x:c r="B15" s="141" t="str">
        <x:v>P5</x:v>
      </x:c>
      <x:c r="C15" s="141" t="str">
        <x:v>Rewards and Recognition</x:v>
      </x:c>
      <x:c r="D15" s="141" t="str">
        <x:v>Reward quality, skill certification, productivity and improvement.</x:v>
      </x:c>
      <x:c r="E15" s="141" t="str">
        <x:v>Recognition records</x:v>
      </x:c>
    </x:row>
    <x:row r="16">
      <x:c r="A16" s="141" t="str">
        <x:v>Practice</x:v>
      </x:c>
      <x:c r="B16" s="141" t="str">
        <x:v>P6</x:v>
      </x:c>
      <x:c r="C16" s="141" t="str">
        <x:v>Career Development</x:v>
      </x:c>
      <x:c r="D16" s="141" t="str">
        <x:v>Build technician, supervisor and specialist career paths.</x:v>
      </x:c>
      <x:c r="E16" s="141" t="str">
        <x:v>Learning records and internal moves</x:v>
      </x:c>
    </x:row>
    <x:row r="17">
      <x:c r="A17" s="141" t="str">
        <x:v>Practice</x:v>
      </x:c>
      <x:c r="B17" s="141" t="str">
        <x:v>P7</x:v>
      </x:c>
      <x:c r="C17" s="141" t="str">
        <x:v>Employee Relations</x:v>
      </x:c>
      <x:c r="D17" s="141" t="str">
        <x:v>Resolve grievance, discipline and welfare matters fairly.</x:v>
      </x:c>
      <x:c r="E17" s="141" t="str">
        <x:v>Employee relations cases</x:v>
      </x:c>
    </x:row>
    <x:row r="18">
      <x:c r="A18" s="141" t="str">
        <x:v>Practice</x:v>
      </x:c>
      <x:c r="B18" s="141" t="str">
        <x:v>P8</x:v>
      </x:c>
      <x:c r="C18" s="141" t="str">
        <x:v>Employee Exits</x:v>
      </x:c>
      <x:c r="D18" s="141" t="str">
        <x:v>Manage exits, knowledge transfer and attrition insight.</x:v>
      </x:c>
      <x:c r="E18" s="141" t="str">
        <x:v>Layoff and exit records</x:v>
      </x:c>
    </x:row>
  </x:sheetData>
  <x:mergeCells>
    <x:mergeCell ref="A1:E2"/>
    <x:mergeCell ref="A3:E3"/>
  </x:mergeCells>
  <x:pageMargins left="0.7" right="0.7" top="0.75" bottom="0.75" header="0.3" footer="0.3"/>
  <x:tableParts count="1">
    <x:tablePart xmlns:r="http://schemas.openxmlformats.org/officeDocument/2006/relationships" r:id="R1f99ebd2c92745fd"/>
  </x:tableParts>
</x:worksheet>
</file>

<file path=xl/worksheets/sheet4.xml><?xml version="1.0" encoding="utf-8"?>
<x:worksheet xmlns:x="http://schemas.openxmlformats.org/spreadsheetml/2006/main">
  <x:sheetFormatPr defaultRowHeight="15"/>
  <x:cols>
    <x:col min="1" max="1" width="13" hidden="0" customWidth="1"/>
    <x:col min="2" max="2" width="14" hidden="0" customWidth="1"/>
    <x:col min="3" max="3" width="34" hidden="0" customWidth="1"/>
    <x:col min="4" max="4" width="32" hidden="0" customWidth="1"/>
    <x:col min="5" max="5" width="38" hidden="0" customWidth="1"/>
    <x:col min="6" max="6" width="30" hidden="0" customWidth="1"/>
    <x:col min="7" max="7" width="14" hidden="0" customWidth="1"/>
  </x:cols>
  <x:sheetData>
    <x:row r="1">
      <x:c r="A1" s="88" t="str">
        <x:v>Q1–Q4 Approval-Gated Roadmap</x:v>
      </x:c>
      <x:c r="B1" s="88"/>
      <x:c r="C1" s="88"/>
      <x:c r="D1" s="88"/>
      <x:c r="E1" s="88"/>
      <x:c r="F1" s="88"/>
      <x:c r="G1" s="88"/>
    </x:row>
    <x:row r="2">
      <x:c r="A2" s="88"/>
      <x:c r="B2" s="88"/>
      <x:c r="C2" s="88"/>
      <x:c r="D2" s="88"/>
      <x:c r="E2" s="88"/>
      <x:c r="F2" s="88"/>
      <x:c r="G2" s="88"/>
    </x:row>
    <x:row r="3">
      <x:c r="A3" s="13" t="str">
        <x:v>The programme scales only after evidence at each decision gate.</x:v>
      </x:c>
      <x:c r="B3" s="13"/>
      <x:c r="C3" s="13"/>
      <x:c r="D3" s="13"/>
      <x:c r="E3" s="13"/>
      <x:c r="F3" s="13"/>
      <x:c r="G3" s="13"/>
    </x:row>
    <x:row r="5" ht="30" customHeight="1">
      <x:c r="A5" s="135" t="str">
        <x:v>Quarter</x:v>
      </x:c>
      <x:c r="B5" s="135" t="str">
        <x:v>Phase</x:v>
      </x:c>
      <x:c r="C5" s="135" t="str">
        <x:v>Business_Context</x:v>
      </x:c>
      <x:c r="D5" s="135" t="str">
        <x:v>Scope</x:v>
      </x:c>
      <x:c r="E5" s="135" t="str">
        <x:v>Key_Actions</x:v>
      </x:c>
      <x:c r="F5" s="135" t="str">
        <x:v>Approval_Gate</x:v>
      </x:c>
      <x:c r="G5" s="135" t="str">
        <x:v>Decision</x:v>
      </x:c>
    </x:row>
    <x:row r="6">
      <x:c r="A6" s="141" t="str">
        <x:v>Q1</x:v>
      </x:c>
      <x:c r="B6" s="141" t="str">
        <x:v>Feasibility, baseline and workforce reset</x:v>
      </x:c>
      <x:c r="C6" s="141" t="str">
        <x:v>Direct-to-production failure, high defect, cash burn and proposed business sale</x:v>
      </x:c>
      <x:c r="D6" s="141" t="str">
        <x:v>100 employees; all functions assessed</x:v>
      </x:c>
      <x:c r="E6" s="141" t="str">
        <x:v>Hire strategic HRBP; baseline diagnostics; KPI catalogue; cost scenarios; 48-role reset; pilot design</x:v>
      </x:c>
      <x:c r="F6" s="141" t="str">
        <x:v>Approve 25-person controlled pilot</x:v>
      </x:c>
      <x:c r="G6" s="141" t="str">
        <x:v>Conditional pilot approval</x:v>
      </x:c>
    </x:row>
    <x:row r="7">
      <x:c r="A7" s="141" t="str">
        <x:v>Q2</x:v>
      </x:c>
      <x:c r="B7" s="141" t="str">
        <x:v>Controlled pilot and experiment</x:v>
      </x:c>
      <x:c r="C7" s="141" t="str">
        <x:v>Reduced production capacity but higher work pressure after restructuring</x:v>
      </x:c>
      <x:c r="D7" s="141" t="str">
        <x:v>25 employees on Assembly Line A plus QA, Engineering, HR and IT support</x:v>
      </x:c>
      <x:c r="E7" s="141" t="str">
        <x:v>Skill certification; quality-at-source; supervisor KPI; HR service SLA; HRIS self-service</x:v>
      </x:c>
      <x:c r="F7" s="141" t="str">
        <x:v>Scale if people, quality and cost thresholds are met</x:v>
      </x:c>
      <x:c r="G7" s="141" t="str">
        <x:v>Scale approved with corrective actions</x:v>
      </x:c>
    </x:row>
    <x:row r="8">
      <x:c r="A8" s="141" t="str">
        <x:v>Q3</x:v>
      </x:c>
      <x:c r="B8" s="141" t="str">
        <x:v>Scale and operational stabilization</x:v>
      </x:c>
      <x:c r="C8" s="141" t="str">
        <x:v>Demand recovery and expansion from one line to two lines</x:v>
      </x:c>
      <x:c r="D8" s="141" t="str">
        <x:v>Lines A and B plus support functions</x:v>
      </x:c>
      <x:c r="E8" s="141" t="str">
        <x:v>Critical hiring; manager dashboards; internal mobility; recognition; weekly analytics review</x:v>
      </x:c>
      <x:c r="F8" s="141" t="str">
        <x:v>Enterprise rollout readiness review</x:v>
      </x:c>
      <x:c r="G8" s="141" t="str">
        <x:v>Enterprise rollout recommended</x:v>
      </x:c>
    </x:row>
    <x:row r="9">
      <x:c r="A9" s="141" t="str">
        <x:v>Q4</x:v>
      </x:c>
      <x:c r="B9" s="141" t="str">
        <x:v>Enterprise rollout and final approval</x:v>
      </x:c>
      <x:c r="C9" s="141" t="str">
        <x:v>Business retained; move from recovery programme to standard operating model</x:v>
      </x:c>
      <x:c r="D9" s="141" t="str">
        <x:v>All Sabia Group entities and major employee groups</x:v>
      </x:c>
      <x:c r="E9" s="141" t="str">
        <x:v>Full HR operating model; integrated dashboards; governance handover; benefits realization</x:v>
      </x:c>
      <x:c r="F9" s="141" t="str">
        <x:v>Approve business-as-usual operating model</x:v>
      </x:c>
      <x:c r="G9" s="141" t="str">
        <x:v>Fully approved</x:v>
      </x:c>
    </x:row>
  </x:sheetData>
  <x:mergeCells>
    <x:mergeCell ref="A1:G2"/>
    <x:mergeCell ref="A3:G3"/>
  </x:mergeCells>
  <x:pageMargins left="0.7" right="0.7" top="0.75" bottom="0.75" header="0.3" footer="0.3"/>
  <x:tableParts count="1">
    <x:tablePart xmlns:r="http://schemas.openxmlformats.org/officeDocument/2006/relationships" r:id="R3c6a8cc0a8dc43f4"/>
  </x:tableParts>
</x:worksheet>
</file>

<file path=xl/worksheets/sheet5.xml><?xml version="1.0" encoding="utf-8"?>
<x:worksheet xmlns:x="http://schemas.openxmlformats.org/spreadsheetml/2006/main">
  <x:sheetFormatPr defaultRowHeight="15"/>
  <x:cols>
    <x:col min="1" max="1" width="31" hidden="0" customWidth="1"/>
    <x:col min="2" max="2" width="14" hidden="0" customWidth="1"/>
    <x:col min="3" max="3" width="12" hidden="0" customWidth="1"/>
    <x:col min="4" max="4" width="12" hidden="0" customWidth="1"/>
    <x:col min="5" max="5" width="12" hidden="0" customWidth="1"/>
    <x:col min="6" max="6" width="12" hidden="0" customWidth="1"/>
    <x:col min="7" max="7" width="15" hidden="0" customWidth="1"/>
    <x:col min="8" max="8" width="15" hidden="0" customWidth="1"/>
  </x:cols>
  <x:sheetData>
    <x:row r="1">
      <x:c r="A1" s="88" t="str">
        <x:v>Executive Quarterly KPI Scorecard</x:v>
      </x:c>
      <x:c r="B1" s="88"/>
      <x:c r="C1" s="88"/>
      <x:c r="D1" s="88"/>
      <x:c r="E1" s="88"/>
      <x:c r="F1" s="88"/>
      <x:c r="G1" s="88"/>
      <x:c r="H1" s="88"/>
    </x:row>
    <x:row r="2">
      <x:c r="A2" s="88"/>
      <x:c r="B2" s="88"/>
      <x:c r="C2" s="88"/>
      <x:c r="D2" s="88"/>
      <x:c r="E2" s="88"/>
      <x:c r="F2" s="88"/>
      <x:c r="G2" s="88"/>
      <x:c r="H2" s="88"/>
    </x:row>
    <x:row r="3">
      <x:c r="A3" s="13" t="str">
        <x:v>Q1 baseline and reset; Q2 pilot; Q3 scale; Q4 enterprise rollout.</x:v>
      </x:c>
      <x:c r="B3" s="13"/>
      <x:c r="C3" s="13"/>
      <x:c r="D3" s="13"/>
      <x:c r="E3" s="13"/>
      <x:c r="F3" s="13"/>
      <x:c r="G3" s="13"/>
      <x:c r="H3" s="13"/>
    </x:row>
    <x:row r="5">
      <x:c r="A5" s="145" t="str">
        <x:v>Metric</x:v>
      </x:c>
      <x:c r="B5" s="145" t="str">
        <x:v>Unit</x:v>
      </x:c>
      <x:c r="C5" s="145" t="str">
        <x:v>Q1</x:v>
      </x:c>
      <x:c r="D5" s="145" t="str">
        <x:v>Q2</x:v>
      </x:c>
      <x:c r="E5" s="145" t="str">
        <x:v>Q3</x:v>
      </x:c>
      <x:c r="F5" s="145" t="str">
        <x:v>Q4</x:v>
      </x:c>
      <x:c r="G5" s="145" t="str">
        <x:v>Annual_Target</x:v>
      </x:c>
      <x:c r="H5" s="145" t="str">
        <x:v>Q4_Status</x:v>
      </x:c>
    </x:row>
    <x:row r="6">
      <x:c r="A6" s="119" t="str">
        <x:v>Overall HR Pillar Maturity Score</x:v>
      </x:c>
      <x:c r="B6" s="119" t="str">
        <x:v>Score / 100</x:v>
      </x:c>
      <x:c r="C6" s="147" t="n">
        <x:v>39</x:v>
      </x:c>
      <x:c r="D6" s="147" t="n">
        <x:v>61</x:v>
      </x:c>
      <x:c r="E6" s="147" t="n">
        <x:v>79</x:v>
      </x:c>
      <x:c r="F6" s="147" t="n">
        <x:v>90</x:v>
      </x:c>
      <x:c r="G6" s="119" t="str">
        <x:v>&gt;=85</x:v>
      </x:c>
      <x:c r="H6" s="119" t="str">
        <x:v>Achieved</x:v>
      </x:c>
    </x:row>
    <x:row r="7">
      <x:c r="A7" s="119" t="str">
        <x:v>Active Headcount</x:v>
      </x:c>
      <x:c r="B7" s="119" t="str">
        <x:v>Employees</x:v>
      </x:c>
      <x:c r="C7" s="119" t="n">
        <x:v>52</x:v>
      </x:c>
      <x:c r="D7" s="119" t="n">
        <x:v>70</x:v>
      </x:c>
      <x:c r="E7" s="119" t="n">
        <x:v>99</x:v>
      </x:c>
      <x:c r="F7" s="119" t="n">
        <x:v>114</x:v>
      </x:c>
      <x:c r="G7" s="119" t="str">
        <x:v>108-118</x:v>
      </x:c>
      <x:c r="H7" s="119" t="str">
        <x:v>On Plan</x:v>
      </x:c>
    </x:row>
    <x:row r="8">
      <x:c r="A8" s="119" t="str">
        <x:v>Time to Fill</x:v>
      </x:c>
      <x:c r="B8" s="119" t="str">
        <x:v>Days</x:v>
      </x:c>
      <x:c r="C8" s="119" t="n">
        <x:v>51</x:v>
      </x:c>
      <x:c r="D8" s="119" t="n">
        <x:v>42</x:v>
      </x:c>
      <x:c r="E8" s="119" t="n">
        <x:v>32</x:v>
      </x:c>
      <x:c r="F8" s="119" t="n">
        <x:v>25</x:v>
      </x:c>
      <x:c r="G8" s="119" t="str">
        <x:v>&lt;=30</x:v>
      </x:c>
      <x:c r="H8" s="119" t="str">
        <x:v>Achieved</x:v>
      </x:c>
    </x:row>
    <x:row r="9">
      <x:c r="A9" s="119" t="str">
        <x:v>Offer Acceptance Rate</x:v>
      </x:c>
      <x:c r="B9" s="119" t="str">
        <x:v>%</x:v>
      </x:c>
      <x:c r="C9" s="149" t="n">
        <x:v>0.7</x:v>
      </x:c>
      <x:c r="D9" s="149" t="n">
        <x:v>0.78</x:v>
      </x:c>
      <x:c r="E9" s="149" t="n">
        <x:v>0.85</x:v>
      </x:c>
      <x:c r="F9" s="149" t="n">
        <x:v>0.9</x:v>
      </x:c>
      <x:c r="G9" s="119" t="str">
        <x:v>&gt;=85%</x:v>
      </x:c>
      <x:c r="H9" s="119" t="str">
        <x:v>Achieved</x:v>
      </x:c>
    </x:row>
    <x:row r="10">
      <x:c r="A10" s="119" t="str">
        <x:v>Critical Skill Certification</x:v>
      </x:c>
      <x:c r="B10" s="119" t="str">
        <x:v>%</x:v>
      </x:c>
      <x:c r="C10" s="149" t="n">
        <x:v>0.32</x:v>
      </x:c>
      <x:c r="D10" s="149" t="n">
        <x:v>0.56</x:v>
      </x:c>
      <x:c r="E10" s="149" t="n">
        <x:v>0.76</x:v>
      </x:c>
      <x:c r="F10" s="149" t="n">
        <x:v>0.88</x:v>
      </x:c>
      <x:c r="G10" s="119" t="str">
        <x:v>&gt;=80%</x:v>
      </x:c>
      <x:c r="H10" s="119" t="str">
        <x:v>Achieved</x:v>
      </x:c>
    </x:row>
    <x:row r="11">
      <x:c r="A11" s="119" t="str">
        <x:v>Compliance Audit Score</x:v>
      </x:c>
      <x:c r="B11" s="119" t="str">
        <x:v>%</x:v>
      </x:c>
      <x:c r="C11" s="149" t="n">
        <x:v>0.76</x:v>
      </x:c>
      <x:c r="D11" s="149" t="n">
        <x:v>0.84</x:v>
      </x:c>
      <x:c r="E11" s="149" t="n">
        <x:v>0.91</x:v>
      </x:c>
      <x:c r="F11" s="149" t="n">
        <x:v>0.96</x:v>
      </x:c>
      <x:c r="G11" s="119" t="str">
        <x:v>&gt;=92%</x:v>
      </x:c>
      <x:c r="H11" s="119" t="str">
        <x:v>Achieved</x:v>
      </x:c>
    </x:row>
    <x:row r="12">
      <x:c r="A12" s="119" t="str">
        <x:v>Performance Review Completion</x:v>
      </x:c>
      <x:c r="B12" s="119" t="str">
        <x:v>%</x:v>
      </x:c>
      <x:c r="C12" s="149" t="n">
        <x:v>0.49</x:v>
      </x:c>
      <x:c r="D12" s="149" t="n">
        <x:v>0.72</x:v>
      </x:c>
      <x:c r="E12" s="149" t="n">
        <x:v>0.86</x:v>
      </x:c>
      <x:c r="F12" s="149" t="n">
        <x:v>0.94</x:v>
      </x:c>
      <x:c r="G12" s="119" t="str">
        <x:v>&gt;=90%</x:v>
      </x:c>
      <x:c r="H12" s="119" t="str">
        <x:v>Achieved</x:v>
      </x:c>
    </x:row>
    <x:row r="13">
      <x:c r="A13" s="119" t="str">
        <x:v>Recognition Coverage</x:v>
      </x:c>
      <x:c r="B13" s="119" t="str">
        <x:v>%</x:v>
      </x:c>
      <x:c r="C13" s="149" t="n">
        <x:v>0.1</x:v>
      </x:c>
      <x:c r="D13" s="149" t="n">
        <x:v>0.28</x:v>
      </x:c>
      <x:c r="E13" s="149" t="n">
        <x:v>0.55</x:v>
      </x:c>
      <x:c r="F13" s="149" t="n">
        <x:v>0.73</x:v>
      </x:c>
      <x:c r="G13" s="119" t="str">
        <x:v>&gt;=70%</x:v>
      </x:c>
      <x:c r="H13" s="119" t="str">
        <x:v>Achieved</x:v>
      </x:c>
    </x:row>
    <x:row r="14">
      <x:c r="A14" s="119" t="str">
        <x:v>Internal Fill Rate</x:v>
      </x:c>
      <x:c r="B14" s="119" t="str">
        <x:v>%</x:v>
      </x:c>
      <x:c r="C14" s="149" t="n">
        <x:v>0.06</x:v>
      </x:c>
      <x:c r="D14" s="149" t="n">
        <x:v>0.11</x:v>
      </x:c>
      <x:c r="E14" s="149" t="n">
        <x:v>0.19</x:v>
      </x:c>
      <x:c r="F14" s="149" t="n">
        <x:v>0.27</x:v>
      </x:c>
      <x:c r="G14" s="119" t="str">
        <x:v>&gt;=25%</x:v>
      </x:c>
      <x:c r="H14" s="119" t="str">
        <x:v>Achieved</x:v>
      </x:c>
    </x:row>
    <x:row r="15">
      <x:c r="A15" s="119" t="str">
        <x:v>ER Cases Closed Within SLA</x:v>
      </x:c>
      <x:c r="B15" s="119" t="str">
        <x:v>%</x:v>
      </x:c>
      <x:c r="C15" s="149" t="n">
        <x:v>0.48</x:v>
      </x:c>
      <x:c r="D15" s="149" t="n">
        <x:v>0.68</x:v>
      </x:c>
      <x:c r="E15" s="149" t="n">
        <x:v>0.84</x:v>
      </x:c>
      <x:c r="F15" s="149" t="n">
        <x:v>0.93</x:v>
      </x:c>
      <x:c r="G15" s="119" t="str">
        <x:v>&gt;=90%</x:v>
      </x:c>
      <x:c r="H15" s="119" t="str">
        <x:v>Achieved</x:v>
      </x:c>
    </x:row>
    <x:row r="16">
      <x:c r="A16" s="119" t="str">
        <x:v>Quarterly Regrettable Attrition</x:v>
      </x:c>
      <x:c r="B16" s="119" t="str">
        <x:v>%</x:v>
      </x:c>
      <x:c r="C16" s="149" t="n">
        <x:v>0.045</x:v>
      </x:c>
      <x:c r="D16" s="149" t="n">
        <x:v>0.038</x:v>
      </x:c>
      <x:c r="E16" s="149" t="n">
        <x:v>0.03</x:v>
      </x:c>
      <x:c r="F16" s="149" t="n">
        <x:v>0.024</x:v>
      </x:c>
      <x:c r="G16" s="119" t="str">
        <x:v>&lt;=3.0%</x:v>
      </x:c>
      <x:c r="H16" s="119" t="str">
        <x:v>Achieved</x:v>
      </x:c>
    </x:row>
    <x:row r="17">
      <x:c r="A17" s="119" t="str">
        <x:v>HR Service SLA Achievement</x:v>
      </x:c>
      <x:c r="B17" s="119" t="str">
        <x:v>%</x:v>
      </x:c>
      <x:c r="C17" s="149" t="n">
        <x:v>0.55</x:v>
      </x:c>
      <x:c r="D17" s="149" t="n">
        <x:v>0.76</x:v>
      </x:c>
      <x:c r="E17" s="149" t="n">
        <x:v>0.88</x:v>
      </x:c>
      <x:c r="F17" s="149" t="n">
        <x:v>0.95</x:v>
      </x:c>
      <x:c r="G17" s="119" t="str">
        <x:v>&gt;=90%</x:v>
      </x:c>
      <x:c r="H17" s="119" t="str">
        <x:v>Achieved</x:v>
      </x:c>
    </x:row>
    <x:row r="18">
      <x:c r="A18" s="119" t="str">
        <x:v>HRIS Adoption</x:v>
      </x:c>
      <x:c r="B18" s="119" t="str">
        <x:v>%</x:v>
      </x:c>
      <x:c r="C18" s="149" t="n">
        <x:v>0.18</x:v>
      </x:c>
      <x:c r="D18" s="149" t="n">
        <x:v>0.67</x:v>
      </x:c>
      <x:c r="E18" s="149" t="n">
        <x:v>0.88</x:v>
      </x:c>
      <x:c r="F18" s="149" t="n">
        <x:v>0.97</x:v>
      </x:c>
      <x:c r="G18" s="119" t="str">
        <x:v>&gt;=90%</x:v>
      </x:c>
      <x:c r="H18" s="119" t="str">
        <x:v>Achieved</x:v>
      </x:c>
    </x:row>
    <x:row r="19">
      <x:c r="A19" s="119" t="str">
        <x:v>First Pass Yield</x:v>
      </x:c>
      <x:c r="B19" s="119" t="str">
        <x:v>%</x:v>
      </x:c>
      <x:c r="C19" s="149" t="n">
        <x:v>0.63</x:v>
      </x:c>
      <x:c r="D19" s="149" t="n">
        <x:v>0.81</x:v>
      </x:c>
      <x:c r="E19" s="149" t="n">
        <x:v>0.92</x:v>
      </x:c>
      <x:c r="F19" s="149" t="n">
        <x:v>0.971</x:v>
      </x:c>
      <x:c r="G19" s="119" t="str">
        <x:v>&gt;=96%</x:v>
      </x:c>
      <x:c r="H19" s="119" t="str">
        <x:v>Achieved</x:v>
      </x:c>
    </x:row>
    <x:row r="20">
      <x:c r="A20" s="119" t="str">
        <x:v>Defect Rate</x:v>
      </x:c>
      <x:c r="B20" s="119" t="str">
        <x:v>%</x:v>
      </x:c>
      <x:c r="C20" s="149" t="n">
        <x:v>0.182</x:v>
      </x:c>
      <x:c r="D20" s="149" t="n">
        <x:v>0.102</x:v>
      </x:c>
      <x:c r="E20" s="149" t="n">
        <x:v>0.051</x:v>
      </x:c>
      <x:c r="F20" s="149" t="n">
        <x:v>0.024</x:v>
      </x:c>
      <x:c r="G20" s="119" t="str">
        <x:v>&lt;=3.0%</x:v>
      </x:c>
      <x:c r="H20" s="119" t="str">
        <x:v>Achieved</x:v>
      </x:c>
    </x:row>
    <x:row r="21">
      <x:c r="A21" s="119" t="str">
        <x:v>Units per Labour Hour</x:v>
      </x:c>
      <x:c r="B21" s="119" t="str">
        <x:v>Units</x:v>
      </x:c>
      <x:c r="C21" s="119" t="n">
        <x:v>1.04</x:v>
      </x:c>
      <x:c r="D21" s="119" t="n">
        <x:v>1.58</x:v>
      </x:c>
      <x:c r="E21" s="119" t="n">
        <x:v>2.22</x:v>
      </x:c>
      <x:c r="F21" s="119" t="n">
        <x:v>2.68</x:v>
      </x:c>
      <x:c r="G21" s="119" t="str">
        <x:v>&gt;=2.50</x:v>
      </x:c>
      <x:c r="H21" s="119" t="str">
        <x:v>Achieved</x:v>
      </x:c>
    </x:row>
    <x:row r="22">
      <x:c r="A22" s="119" t="str">
        <x:v>Absence Rate</x:v>
      </x:c>
      <x:c r="B22" s="119" t="str">
        <x:v>%</x:v>
      </x:c>
      <x:c r="C22" s="149" t="n">
        <x:v>0.071</x:v>
      </x:c>
      <x:c r="D22" s="149" t="n">
        <x:v>0.057</x:v>
      </x:c>
      <x:c r="E22" s="149" t="n">
        <x:v>0.046</x:v>
      </x:c>
      <x:c r="F22" s="149" t="n">
        <x:v>0.04</x:v>
      </x:c>
      <x:c r="G22" s="119" t="str">
        <x:v>&lt;=4.5%</x:v>
      </x:c>
      <x:c r="H22" s="119" t="str">
        <x:v>Achieved</x:v>
      </x:c>
    </x:row>
    <x:row r="23">
      <x:c r="A23" s="119" t="str">
        <x:v>Quarterly Operating Profit</x:v>
      </x:c>
      <x:c r="B23" s="119" t="str">
        <x:v>BDT Million</x:v>
      </x:c>
      <x:c r="C23" s="151" t="n">
        <x:v>-52.67</x:v>
      </x:c>
      <x:c r="D23" s="151" t="n">
        <x:v>-22.71</x:v>
      </x:c>
      <x:c r="E23" s="151" t="n">
        <x:v>10.09</x:v>
      </x:c>
      <x:c r="F23" s="151" t="n">
        <x:v>64.02</x:v>
      </x:c>
      <x:c r="G23" s="119" t="str">
        <x:v>&gt;0</x:v>
      </x:c>
      <x:c r="H23" s="119" t="str">
        <x:v>Achieved</x:v>
      </x:c>
    </x:row>
  </x:sheetData>
  <x:mergeCells>
    <x:mergeCell ref="A1:H2"/>
    <x:mergeCell ref="A3:H3"/>
  </x:mergeCells>
  <x:conditionalFormatting sqref="F6:F23">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9848aac528ad487f"/>
  </x:tableParts>
</x:worksheet>
</file>

<file path=xl/worksheets/sheet6.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s>
  <x:sheetData>
    <x:row r="1">
      <x:c r="A1" s="88" t="str">
        <x:v>HR Pillar Maturity Progression</x:v>
      </x:c>
      <x:c r="B1" s="88"/>
      <x:c r="C1" s="88"/>
      <x:c r="D1" s="88"/>
      <x:c r="E1" s="88"/>
      <x:c r="F1" s="88"/>
    </x:row>
    <x:row r="2">
      <x:c r="A2" s="88"/>
      <x:c r="B2" s="88"/>
      <x:c r="C2" s="88"/>
      <x:c r="D2" s="88"/>
      <x:c r="E2" s="88"/>
      <x:c r="F2" s="88"/>
    </x:row>
    <x:row r="3">
      <x:c r="A3" s="13" t="str">
        <x:v>Scores demonstrate how the integrated operating model matures from Q1 to Q4.</x:v>
      </x:c>
      <x:c r="B3" s="13"/>
      <x:c r="C3" s="13"/>
      <x:c r="D3" s="13"/>
      <x:c r="E3" s="13"/>
      <x:c r="F3" s="13"/>
    </x:row>
    <x:row r="5" ht="30" customHeight="1">
      <x:c r="A5" s="135" t="str">
        <x:v>Pillar</x:v>
      </x:c>
      <x:c r="B5" s="135" t="str">
        <x:v>Q1</x:v>
      </x:c>
      <x:c r="C5" s="135" t="str">
        <x:v>Q2</x:v>
      </x:c>
      <x:c r="D5" s="135" t="str">
        <x:v>Q3</x:v>
      </x:c>
      <x:c r="E5" s="135" t="str">
        <x:v>Q4</x:v>
      </x:c>
      <x:c r="F5" s="135" t="str">
        <x:v>Improvement_Q1_to_Q4</x:v>
      </x:c>
    </x:row>
    <x:row r="6">
      <x:c r="A6" s="141" t="str">
        <x:v>Workforce Strategy</x:v>
      </x:c>
      <x:c r="B6" s="141" t="n">
        <x:v>37</x:v>
      </x:c>
      <x:c r="C6" s="141" t="n">
        <x:v>58</x:v>
      </x:c>
      <x:c r="D6" s="141" t="n">
        <x:v>78</x:v>
      </x:c>
      <x:c r="E6" s="141" t="n">
        <x:v>90</x:v>
      </x:c>
      <x:c r="F6" s="141" t="n">
        <x:v>53</x:v>
      </x:c>
    </x:row>
    <x:row r="7">
      <x:c r="A7" s="141" t="str">
        <x:v>Organization Design</x:v>
      </x:c>
      <x:c r="B7" s="141" t="n">
        <x:v>43</x:v>
      </x:c>
      <x:c r="C7" s="141" t="n">
        <x:v>64</x:v>
      </x:c>
      <x:c r="D7" s="141" t="n">
        <x:v>79</x:v>
      </x:c>
      <x:c r="E7" s="141" t="n">
        <x:v>88</x:v>
      </x:c>
      <x:c r="F7" s="141" t="n">
        <x:v>45</x:v>
      </x:c>
    </x:row>
    <x:row r="8">
      <x:c r="A8" s="141" t="str">
        <x:v>HR Services</x:v>
      </x:c>
      <x:c r="B8" s="141" t="n">
        <x:v>35</x:v>
      </x:c>
      <x:c r="C8" s="141" t="n">
        <x:v>60</x:v>
      </x:c>
      <x:c r="D8" s="141" t="n">
        <x:v>83</x:v>
      </x:c>
      <x:c r="E8" s="141" t="n">
        <x:v>93</x:v>
      </x:c>
      <x:c r="F8" s="141" t="n">
        <x:v>58</x:v>
      </x:c>
    </x:row>
    <x:row r="9">
      <x:c r="A9" s="141" t="str">
        <x:v>HR Technology</x:v>
      </x:c>
      <x:c r="B9" s="141" t="n">
        <x:v>20</x:v>
      </x:c>
      <x:c r="C9" s="141" t="n">
        <x:v>58</x:v>
      </x:c>
      <x:c r="D9" s="141" t="n">
        <x:v>86</x:v>
      </x:c>
      <x:c r="E9" s="141" t="n">
        <x:v>96</x:v>
      </x:c>
      <x:c r="F9" s="141" t="n">
        <x:v>76</x:v>
      </x:c>
    </x:row>
    <x:row r="10">
      <x:c r="A10" s="141" t="str">
        <x:v>Talent Acquisition and Recruitment</x:v>
      </x:c>
      <x:c r="B10" s="141" t="n">
        <x:v>39</x:v>
      </x:c>
      <x:c r="C10" s="141" t="n">
        <x:v>66</x:v>
      </x:c>
      <x:c r="D10" s="141" t="n">
        <x:v>83</x:v>
      </x:c>
      <x:c r="E10" s="141" t="n">
        <x:v>91</x:v>
      </x:c>
      <x:c r="F10" s="141" t="n">
        <x:v>52</x:v>
      </x:c>
    </x:row>
    <x:row r="11">
      <x:c r="A11" s="141" t="str">
        <x:v>Talent Management</x:v>
      </x:c>
      <x:c r="B11" s="141" t="n">
        <x:v>32</x:v>
      </x:c>
      <x:c r="C11" s="141" t="n">
        <x:v>56</x:v>
      </x:c>
      <x:c r="D11" s="141" t="n">
        <x:v>75</x:v>
      </x:c>
      <x:c r="E11" s="141" t="n">
        <x:v>86</x:v>
      </x:c>
      <x:c r="F11" s="141" t="n">
        <x:v>54</x:v>
      </x:c>
    </x:row>
    <x:row r="12">
      <x:c r="A12" s="141" t="str">
        <x:v>Legal Regulatory and Compliance</x:v>
      </x:c>
      <x:c r="B12" s="141" t="n">
        <x:v>59</x:v>
      </x:c>
      <x:c r="C12" s="141" t="n">
        <x:v>74</x:v>
      </x:c>
      <x:c r="D12" s="141" t="n">
        <x:v>89</x:v>
      </x:c>
      <x:c r="E12" s="141" t="n">
        <x:v>95</x:v>
      </x:c>
      <x:c r="F12" s="141" t="n">
        <x:v>36</x:v>
      </x:c>
    </x:row>
    <x:row r="13">
      <x:c r="A13" s="141" t="str">
        <x:v>Performance Management</x:v>
      </x:c>
      <x:c r="B13" s="141" t="n">
        <x:v>35</x:v>
      </x:c>
      <x:c r="C13" s="141" t="n">
        <x:v>64</x:v>
      </x:c>
      <x:c r="D13" s="141" t="n">
        <x:v>82</x:v>
      </x:c>
      <x:c r="E13" s="141" t="n">
        <x:v>92</x:v>
      </x:c>
      <x:c r="F13" s="141" t="n">
        <x:v>57</x:v>
      </x:c>
    </x:row>
    <x:row r="14">
      <x:c r="A14" s="141" t="str">
        <x:v>Rewards and Recognition</x:v>
      </x:c>
      <x:c r="B14" s="141" t="n">
        <x:v>23</x:v>
      </x:c>
      <x:c r="C14" s="141" t="n">
        <x:v>49</x:v>
      </x:c>
      <x:c r="D14" s="141" t="n">
        <x:v>72</x:v>
      </x:c>
      <x:c r="E14" s="141" t="n">
        <x:v>85</x:v>
      </x:c>
      <x:c r="F14" s="141" t="n">
        <x:v>62</x:v>
      </x:c>
    </x:row>
    <x:row r="15">
      <x:c r="A15" s="141" t="str">
        <x:v>Career Development</x:v>
      </x:c>
      <x:c r="B15" s="141" t="n">
        <x:v>28</x:v>
      </x:c>
      <x:c r="C15" s="141" t="n">
        <x:v>55</x:v>
      </x:c>
      <x:c r="D15" s="141" t="n">
        <x:v>76</x:v>
      </x:c>
      <x:c r="E15" s="141" t="n">
        <x:v>87</x:v>
      </x:c>
      <x:c r="F15" s="141" t="n">
        <x:v>59</x:v>
      </x:c>
    </x:row>
    <x:row r="16">
      <x:c r="A16" s="141" t="str">
        <x:v>Employee Relations</x:v>
      </x:c>
      <x:c r="B16" s="141" t="n">
        <x:v>44</x:v>
      </x:c>
      <x:c r="C16" s="141" t="n">
        <x:v>67</x:v>
      </x:c>
      <x:c r="D16" s="141" t="n">
        <x:v>85</x:v>
      </x:c>
      <x:c r="E16" s="141" t="n">
        <x:v>93</x:v>
      </x:c>
      <x:c r="F16" s="141" t="n">
        <x:v>49</x:v>
      </x:c>
    </x:row>
    <x:row r="17">
      <x:c r="A17" s="141" t="str">
        <x:v>Employee Exits</x:v>
      </x:c>
      <x:c r="B17" s="141" t="n">
        <x:v>41</x:v>
      </x:c>
      <x:c r="C17" s="141" t="n">
        <x:v>62</x:v>
      </x:c>
      <x:c r="D17" s="141" t="n">
        <x:v>77</x:v>
      </x:c>
      <x:c r="E17" s="141" t="n">
        <x:v>87</x:v>
      </x:c>
      <x:c r="F17" s="141" t="n">
        <x:v>46</x:v>
      </x:c>
    </x:row>
  </x:sheetData>
  <x:mergeCells>
    <x:mergeCell ref="A1:F2"/>
    <x:mergeCell ref="A3:F3"/>
  </x:mergeCells>
  <x:conditionalFormatting sqref="B6:B17">
    <x:cfRule type="colorScale" priority="1">
      <x:colorScale>
        <x:cfvo type="min"/>
        <x:cfvo type="percentile" val="50"/>
        <x:cfvo type="max"/>
        <x:color rgb="FFFEE2E2"/>
        <x:color rgb="FFFEF3C7"/>
        <x:color rgb="FFDCFCE7"/>
      </x:colorScale>
    </x:cfRule>
  </x:conditionalFormatting>
  <x:conditionalFormatting sqref="C6:C17">
    <x:cfRule type="colorScale" priority="2">
      <x:colorScale>
        <x:cfvo type="min"/>
        <x:cfvo type="percentile" val="50"/>
        <x:cfvo type="max"/>
        <x:color rgb="FFFEE2E2"/>
        <x:color rgb="FFFEF3C7"/>
        <x:color rgb="FFDCFCE7"/>
      </x:colorScale>
    </x:cfRule>
  </x:conditionalFormatting>
  <x:conditionalFormatting sqref="D6:D17">
    <x:cfRule type="colorScale" priority="3">
      <x:colorScale>
        <x:cfvo type="min"/>
        <x:cfvo type="percentile" val="50"/>
        <x:cfvo type="max"/>
        <x:color rgb="FFFEE2E2"/>
        <x:color rgb="FFFEF3C7"/>
        <x:color rgb="FFDCFCE7"/>
      </x:colorScale>
    </x:cfRule>
  </x:conditionalFormatting>
  <x:conditionalFormatting sqref="E6:E17">
    <x:cfRule type="colorScale" priority="4">
      <x:colorScale>
        <x:cfvo type="min"/>
        <x:cfvo type="percentile" val="50"/>
        <x:cfvo type="max"/>
        <x:color rgb="FFFEE2E2"/>
        <x:color rgb="FFFEF3C7"/>
        <x:color rgb="FFDCFCE7"/>
      </x:colorScale>
    </x:cfRule>
  </x:conditionalFormatting>
  <x:conditionalFormatting sqref="F6:F17">
    <x:cfRule type="colorScale" priority="5">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00b9fb560d914eba"/>
  </x:tableParts>
</x:worksheet>
</file>

<file path=xl/worksheets/sheet7.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12" hidden="0" customWidth="1"/>
    <x:col min="5" max="5" width="14" hidden="0" customWidth="1"/>
    <x:col min="6" max="6" width="12" hidden="0" customWidth="1"/>
    <x:col min="7" max="7" width="26" hidden="0" customWidth="1"/>
    <x:col min="8" max="8" width="12" hidden="0" customWidth="1"/>
    <x:col min="9" max="9" width="12" hidden="0" customWidth="1"/>
    <x:col min="10" max="10" width="26" hidden="0" customWidth="1"/>
    <x:col min="11" max="11" width="26" hidden="0" customWidth="1"/>
    <x:col min="12" max="12" width="12" hidden="0" customWidth="1"/>
    <x:col min="13" max="13" width="14" hidden="0" customWidth="1"/>
    <x:col min="14" max="14" width="12" hidden="0" customWidth="1"/>
    <x:col min="15" max="15" width="14" hidden="0" customWidth="1"/>
    <x:col min="16" max="16" width="14" hidden="0" customWidth="1"/>
    <x:col min="17" max="17" width="14" hidden="0" customWidth="1"/>
    <x:col min="18" max="18" width="14" hidden="0" customWidth="1"/>
    <x:col min="19" max="19" width="26"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s>
  <x:sheetData>
    <x:row r="1">
      <x:c r="A1" s="88" t="str">
        <x:v>Employee Master and Skills Inventory</x:v>
      </x:c>
      <x:c r="B1" s="88"/>
      <x:c r="C1" s="88"/>
      <x:c r="D1" s="88"/>
      <x:c r="E1" s="88"/>
      <x:c r="F1" s="88"/>
      <x:c r="G1" s="88"/>
      <x:c r="H1" s="88"/>
      <x:c r="I1" s="88"/>
      <x:c r="J1" s="88"/>
      <x:c r="K1" s="88"/>
      <x:c r="L1" s="88"/>
      <x:c r="M1" s="88"/>
      <x:c r="N1" s="88"/>
      <x:c r="O1" s="88"/>
      <x:c r="P1" s="88"/>
      <x:c r="Q1" s="88"/>
      <x:c r="R1" s="88"/>
      <x:c r="S1" s="88"/>
      <x:c r="T1" s="88"/>
      <x:c r="U1" s="88"/>
      <x:c r="V1" s="88"/>
      <x:c r="W1" s="88"/>
      <x:c r="X1" s="88"/>
      <x:c r="Y1" s="88"/>
      <x:c r="Z1" s="88"/>
      <x:c r="AA1" s="88"/>
    </x:row>
    <x:row r="2">
      <x:c r="A2" s="88"/>
      <x:c r="B2" s="88"/>
      <x:c r="C2" s="88"/>
      <x:c r="D2" s="88"/>
      <x:c r="E2" s="88"/>
      <x:c r="F2" s="88"/>
      <x:c r="G2" s="88"/>
      <x:c r="H2" s="88"/>
      <x:c r="I2" s="88"/>
      <x:c r="J2" s="88"/>
      <x:c r="K2" s="88"/>
      <x:c r="L2" s="88"/>
      <x:c r="M2" s="88"/>
      <x:c r="N2" s="88"/>
      <x:c r="O2" s="88"/>
      <x:c r="P2" s="88"/>
      <x:c r="Q2" s="88"/>
      <x:c r="R2" s="88"/>
      <x:c r="S2" s="88"/>
      <x:c r="T2" s="88"/>
      <x:c r="U2" s="88"/>
      <x:c r="V2" s="88"/>
      <x:c r="W2" s="88"/>
      <x:c r="X2" s="88"/>
      <x:c r="Y2" s="88"/>
      <x:c r="Z2" s="88"/>
      <x:c r="AA2" s="88"/>
    </x:row>
    <x:row r="3">
      <x:c r="A3" s="13" t="str">
        <x:v>Formula-derived tenure and annual employment cost are included for Excel practice.</x:v>
      </x:c>
      <x:c r="B3" s="13"/>
      <x:c r="C3" s="13"/>
      <x:c r="D3" s="13"/>
      <x:c r="E3" s="13"/>
      <x:c r="F3" s="13"/>
      <x:c r="G3" s="13"/>
      <x:c r="H3" s="13"/>
      <x:c r="I3" s="13"/>
      <x:c r="J3" s="13"/>
      <x:c r="K3" s="13"/>
      <x:c r="L3" s="13"/>
      <x:c r="M3" s="13"/>
      <x:c r="N3" s="13"/>
      <x:c r="O3" s="13"/>
      <x:c r="P3" s="13"/>
      <x:c r="Q3" s="13"/>
      <x:c r="R3" s="13"/>
      <x:c r="S3" s="13"/>
      <x:c r="T3" s="13"/>
      <x:c r="U3" s="13"/>
      <x:c r="V3" s="13"/>
      <x:c r="W3" s="13"/>
      <x:c r="X3" s="13"/>
      <x:c r="Y3" s="13"/>
      <x:c r="Z3" s="13"/>
      <x:c r="AA3" s="13"/>
    </x:row>
    <x:row r="5" ht="32" customHeight="1">
      <x:c r="A5" s="156" t="str">
        <x:v>Employee_ID</x:v>
      </x:c>
      <x:c r="B5" s="156" t="str">
        <x:v>Employee_Name</x:v>
      </x:c>
      <x:c r="C5" s="156" t="str">
        <x:v>Gender</x:v>
      </x:c>
      <x:c r="D5" s="156" t="str">
        <x:v>Age</x:v>
      </x:c>
      <x:c r="E5" s="156" t="str">
        <x:v>District</x:v>
      </x:c>
      <x:c r="F5" s="156" t="str">
        <x:v>Entity_ID</x:v>
      </x:c>
      <x:c r="G5" s="156" t="str">
        <x:v>Legal_Entity</x:v>
      </x:c>
      <x:c r="H5" s="156" t="str">
        <x:v>Facility_ID</x:v>
      </x:c>
      <x:c r="I5" s="156" t="str">
        <x:v>Department_Code</x:v>
      </x:c>
      <x:c r="J5" s="156" t="str">
        <x:v>Department</x:v>
      </x:c>
      <x:c r="K5" s="156" t="str">
        <x:v>Position</x:v>
      </x:c>
      <x:c r="L5" s="156" t="str">
        <x:v>Grade</x:v>
      </x:c>
      <x:c r="M5" s="156" t="str">
        <x:v>Employment_Type</x:v>
      </x:c>
      <x:c r="N5" s="156" t="str">
        <x:v>Shift</x:v>
      </x:c>
      <x:c r="O5" s="156" t="str">
        <x:v>Join_Date</x:v>
      </x:c>
      <x:c r="P5" s="156" t="str">
        <x:v>Exit_Date</x:v>
      </x:c>
      <x:c r="Q5" s="156" t="str">
        <x:v>Employee_Status</x:v>
      </x:c>
      <x:c r="R5" s="156" t="str">
        <x:v>Critical_Skill</x:v>
      </x:c>
      <x:c r="S5" s="156" t="str">
        <x:v>Skill_Category</x:v>
      </x:c>
      <x:c r="T5" s="156" t="str">
        <x:v>Skill_Level</x:v>
      </x:c>
      <x:c r="U5" s="156" t="str">
        <x:v>Base_Salary_BDT</x:v>
      </x:c>
      <x:c r="V5" s="156" t="str">
        <x:v>Allowance_BDT</x:v>
      </x:c>
      <x:c r="W5" s="156" t="str">
        <x:v>Total_Monthly_Cost_BDT</x:v>
      </x:c>
      <x:c r="X5" s="156" t="str">
        <x:v>Hire_Cohort</x:v>
      </x:c>
      <x:c r="Y5" s="156" t="str">
        <x:v>Synthetic_Data_Flag</x:v>
      </x:c>
      <x:c r="Z5" s="156" t="str">
        <x:v>Tenure_Months</x:v>
      </x:c>
      <x:c r="AA5" s="156" t="str">
        <x:v>Annual_Employment_Cost_BDT</x:v>
      </x:c>
    </x:row>
    <x:row r="6">
      <x:c r="A6" s="163" t="str">
        <x:v>SG-12720082301</x:v>
      </x:c>
      <x:c r="B6" s="163" t="str">
        <x:v>Nabil Rahman</x:v>
      </x:c>
      <x:c r="C6" s="163" t="str">
        <x:v>Male</x:v>
      </x:c>
      <x:c r="D6" s="163" t="n">
        <x:v>29</x:v>
      </x:c>
      <x:c r="E6" s="163" t="str">
        <x:v>Narayanganj</x:v>
      </x:c>
      <x:c r="F6" s="163" t="str">
        <x:v>SG-003</x:v>
      </x:c>
      <x:c r="G6" s="163" t="str">
        <x:v>Sabia Digital Services Ltd.</x:v>
      </x:c>
      <x:c r="H6" s="163" t="str">
        <x:v>FAC-HQ</x:v>
      </x:c>
      <x:c r="I6" s="163" t="str">
        <x:v>127</x:v>
      </x:c>
      <x:c r="J6" s="163" t="str">
        <x:v>Human Resources and People</x:v>
      </x:c>
      <x:c r="K6" s="163" t="str">
        <x:v>Talent Acquisition Executive</x:v>
      </x:c>
      <x:c r="L6" s="163" t="str">
        <x:v>G3</x:v>
      </x:c>
      <x:c r="M6" s="163" t="str">
        <x:v>Permanent</x:v>
      </x:c>
      <x:c r="N6" s="163" t="str">
        <x:v>General</x:v>
      </x:c>
      <x:c r="O6" s="167" t="n">
        <x:v>45158</x:v>
      </x:c>
      <x:c r="P6" s="167" t="n">
        <x:v>46076</x:v>
      </x:c>
      <x:c r="Q6" s="163" t="str">
        <x:v>Laid Off</x:v>
      </x:c>
      <x:c r="R6" s="163" t="str">
        <x:v>No</x:v>
      </x:c>
      <x:c r="S6" s="163" t="str">
        <x:v>People Strategy and HRBP</x:v>
      </x:c>
      <x:c r="T6" s="163" t="str">
        <x:v>Entry</x:v>
      </x:c>
      <x:c r="U6" s="169" t="n">
        <x:v>39000</x:v>
      </x:c>
      <x:c r="V6" s="169" t="n">
        <x:v>9200</x:v>
      </x:c>
      <x:c r="W6" s="169" t="n">
        <x:v>51320</x:v>
      </x:c>
      <x:c r="X6" s="163" t="str">
        <x:v>Pre-2026</x:v>
      </x:c>
      <x:c r="Y6" s="163" t="str">
        <x:v>Yes</x:v>
      </x:c>
      <x:c r="Z6" s="163" t="n">
        <x:f>ROUND((IF(P6="",DATE(2026,12,31),P6)-O6)/30.44,0)</x:f>
        <x:v>30</x:v>
      </x:c>
      <x:c r="AA6" s="169" t="n">
        <x:f>W6*12</x:f>
        <x:v>615840</x:v>
      </x:c>
    </x:row>
    <x:row r="7">
      <x:c r="A7" s="163" t="str">
        <x:v>SG-12705041803</x:v>
      </x:c>
      <x:c r="B7" s="163" t="str">
        <x:v>Nafisa Kabir</x:v>
      </x:c>
      <x:c r="C7" s="163" t="str">
        <x:v>Female</x:v>
      </x:c>
      <x:c r="D7" s="163" t="n">
        <x:v>36</x:v>
      </x:c>
      <x:c r="E7" s="163" t="str">
        <x:v>Rajshahi</x:v>
      </x:c>
      <x:c r="F7" s="163" t="str">
        <x:v>SG-003</x:v>
      </x:c>
      <x:c r="G7" s="163" t="str">
        <x:v>Sabia Digital Services Ltd.</x:v>
      </x:c>
      <x:c r="H7" s="163" t="str">
        <x:v>FAC-HQ</x:v>
      </x:c>
      <x:c r="I7" s="163" t="str">
        <x:v>127</x:v>
      </x:c>
      <x:c r="J7" s="163" t="str">
        <x:v>Human Resources and People</x:v>
      </x:c>
      <x:c r="K7" s="163" t="str">
        <x:v>People Analytics Analyst</x:v>
      </x:c>
      <x:c r="L7" s="163" t="str">
        <x:v>G4</x:v>
      </x:c>
      <x:c r="M7" s="163" t="str">
        <x:v>Permanent</x:v>
      </x:c>
      <x:c r="N7" s="163" t="str">
        <x:v>General</x:v>
      </x:c>
      <x:c r="O7" s="167" t="n">
        <x:v>43195</x:v>
      </x:c>
      <x:c r="P7" s="167" t="n">
        <x:v>46086</x:v>
      </x:c>
      <x:c r="Q7" s="163" t="str">
        <x:v>Laid Off</x:v>
      </x:c>
      <x:c r="R7" s="163" t="str">
        <x:v>No</x:v>
      </x:c>
      <x:c r="S7" s="163" t="str">
        <x:v>People Strategy and HRBP</x:v>
      </x:c>
      <x:c r="T7" s="163" t="str">
        <x:v>Certified</x:v>
      </x:c>
      <x:c r="U7" s="169" t="n">
        <x:v>61500</x:v>
      </x:c>
      <x:c r="V7" s="169" t="n">
        <x:v>14200</x:v>
      </x:c>
      <x:c r="W7" s="169" t="n">
        <x:v>80620</x:v>
      </x:c>
      <x:c r="X7" s="163" t="str">
        <x:v>Pre-2026</x:v>
      </x:c>
      <x:c r="Y7" s="163" t="str">
        <x:v>Yes</x:v>
      </x:c>
      <x:c r="Z7" s="163" t="n">
        <x:f>ROUND((IF(P7="",DATE(2026,12,31),P7)-O7)/30.44,0)</x:f>
        <x:v>95</x:v>
      </x:c>
      <x:c r="AA7" s="169" t="n">
        <x:f>W7*12</x:f>
        <x:v>967440</x:v>
      </x:c>
    </x:row>
    <x:row r="8">
      <x:c r="A8" s="163" t="str">
        <x:v>SG-12716102104</x:v>
      </x:c>
      <x:c r="B8" s="163" t="str">
        <x:v>Arafat Khan</x:v>
      </x:c>
      <x:c r="C8" s="163" t="str">
        <x:v>Male</x:v>
      </x:c>
      <x:c r="D8" s="163" t="n">
        <x:v>36</x:v>
      </x:c>
      <x:c r="E8" s="163" t="str">
        <x:v>Tangail</x:v>
      </x:c>
      <x:c r="F8" s="163" t="str">
        <x:v>SG-003</x:v>
      </x:c>
      <x:c r="G8" s="163" t="str">
        <x:v>Sabia Digital Services Ltd.</x:v>
      </x:c>
      <x:c r="H8" s="163" t="str">
        <x:v>FAC-HQ</x:v>
      </x:c>
      <x:c r="I8" s="163" t="str">
        <x:v>127</x:v>
      </x:c>
      <x:c r="J8" s="163" t="str">
        <x:v>Human Resources and People</x:v>
      </x:c>
      <x:c r="K8" s="163" t="str">
        <x:v>HR Operations Officer</x:v>
      </x:c>
      <x:c r="L8" s="163" t="str">
        <x:v>G3</x:v>
      </x:c>
      <x:c r="M8" s="163" t="str">
        <x:v>Permanent</x:v>
      </x:c>
      <x:c r="N8" s="163" t="str">
        <x:v>General</x:v>
      </x:c>
      <x:c r="O8" s="167" t="n">
        <x:v>44485</x:v>
      </x:c>
      <x:c r="P8" s="167" t="str"/>
      <x:c r="Q8" s="163" t="str">
        <x:v>Active</x:v>
      </x:c>
      <x:c r="R8" s="163" t="str">
        <x:v>No</x:v>
      </x:c>
      <x:c r="S8" s="163" t="str">
        <x:v>People Strategy and HRBP</x:v>
      </x:c>
      <x:c r="T8" s="163" t="str">
        <x:v>Certified</x:v>
      </x:c>
      <x:c r="U8" s="169" t="n">
        <x:v>37000</x:v>
      </x:c>
      <x:c r="V8" s="169" t="n">
        <x:v>7800</x:v>
      </x:c>
      <x:c r="W8" s="169" t="n">
        <x:v>47760</x:v>
      </x:c>
      <x:c r="X8" s="163" t="str">
        <x:v>Pre-2026</x:v>
      </x:c>
      <x:c r="Y8" s="163" t="str">
        <x:v>Yes</x:v>
      </x:c>
      <x:c r="Z8" s="163" t="n">
        <x:f>ROUND((IF(P8="",DATE(2026,12,31),P8)-O8)/30.44,0)</x:f>
        <x:v>62</x:v>
      </x:c>
      <x:c r="AA8" s="169" t="n">
        <x:f>W8*12</x:f>
        <x:v>573120</x:v>
      </x:c>
    </x:row>
    <x:row r="9">
      <x:c r="A9" s="163" t="str">
        <x:v>SG-21024102301</x:v>
      </x:c>
      <x:c r="B9" s="163" t="str">
        <x:v>Imran Miah</x:v>
      </x:c>
      <x:c r="C9" s="163" t="str">
        <x:v>Male</x:v>
      </x:c>
      <x:c r="D9" s="163" t="n">
        <x:v>27</x:v>
      </x:c>
      <x:c r="E9" s="163" t="str">
        <x:v>Rajshahi</x:v>
      </x:c>
      <x:c r="F9" s="163" t="str">
        <x:v>SG-001</x:v>
      </x:c>
      <x:c r="G9" s="163" t="str">
        <x:v>Sabia Smart Devices Ltd.</x:v>
      </x:c>
      <x:c r="H9" s="163" t="str">
        <x:v>FAC-GZ</x:v>
      </x:c>
      <x:c r="I9" s="163" t="str">
        <x:v>210</x:v>
      </x:c>
      <x:c r="J9" s="163" t="str">
        <x:v>Smartwatch Production</x:v>
      </x:c>
      <x:c r="K9" s="163" t="str">
        <x:v>Production Line Leader</x:v>
      </x:c>
      <x:c r="L9" s="163" t="str">
        <x:v>G3</x:v>
      </x:c>
      <x:c r="M9" s="163" t="str">
        <x:v>Permanent</x:v>
      </x:c>
      <x:c r="N9" s="163" t="str">
        <x:v>A</x:v>
      </x:c>
      <x:c r="O9" s="167" t="n">
        <x:v>45223</x:v>
      </x:c>
      <x:c r="P9" s="167" t="n">
        <x:v>46091</x:v>
      </x:c>
      <x:c r="Q9" s="163" t="str">
        <x:v>Laid Off</x:v>
      </x:c>
      <x:c r="R9" s="163" t="str">
        <x:v>No</x:v>
      </x:c>
      <x:c r="S9" s="163" t="str">
        <x:v>Precision Assembly</x:v>
      </x:c>
      <x:c r="T9" s="163" t="str">
        <x:v>Intermediate</x:v>
      </x:c>
      <x:c r="U9" s="169" t="n">
        <x:v>37000</x:v>
      </x:c>
      <x:c r="V9" s="169" t="n">
        <x:v>5600</x:v>
      </x:c>
      <x:c r="W9" s="169" t="n">
        <x:v>45560</x:v>
      </x:c>
      <x:c r="X9" s="163" t="str">
        <x:v>Pre-2026</x:v>
      </x:c>
      <x:c r="Y9" s="163" t="str">
        <x:v>Yes</x:v>
      </x:c>
      <x:c r="Z9" s="163" t="n">
        <x:f>ROUND((IF(P9="",DATE(2026,12,31),P9)-O9)/30.44,0)</x:f>
        <x:v>29</x:v>
      </x:c>
      <x:c r="AA9" s="169" t="n">
        <x:f>W9*12</x:f>
        <x:v>546720</x:v>
      </x:c>
    </x:row>
    <x:row r="10">
      <x:c r="A10" s="163" t="str">
        <x:v>SG-21023011902</x:v>
      </x:c>
      <x:c r="B10" s="163" t="str">
        <x:v>Tamim Alam</x:v>
      </x:c>
      <x:c r="C10" s="163" t="str">
        <x:v>Male</x:v>
      </x:c>
      <x:c r="D10" s="163" t="n">
        <x:v>32</x:v>
      </x:c>
      <x:c r="E10" s="163" t="str">
        <x:v>Jashore</x:v>
      </x:c>
      <x:c r="F10" s="163" t="str">
        <x:v>SG-001</x:v>
      </x:c>
      <x:c r="G10" s="163" t="str">
        <x:v>Sabia Smart Devices Ltd.</x:v>
      </x:c>
      <x:c r="H10" s="163" t="str">
        <x:v>FAC-GZ</x:v>
      </x:c>
      <x:c r="I10" s="163" t="str">
        <x:v>210</x:v>
      </x:c>
      <x:c r="J10" s="163" t="str">
        <x:v>Smartwatch Production</x:v>
      </x:c>
      <x:c r="K10" s="163" t="str">
        <x:v>Production Line Leader</x:v>
      </x:c>
      <x:c r="L10" s="163" t="str">
        <x:v>G3</x:v>
      </x:c>
      <x:c r="M10" s="163" t="str">
        <x:v>Permanent</x:v>
      </x:c>
      <x:c r="N10" s="163" t="str">
        <x:v>C</x:v>
      </x:c>
      <x:c r="O10" s="167" t="n">
        <x:v>43488</x:v>
      </x:c>
      <x:c r="P10" s="167" t="n">
        <x:v>46061</x:v>
      </x:c>
      <x:c r="Q10" s="163" t="str">
        <x:v>Laid Off</x:v>
      </x:c>
      <x:c r="R10" s="163" t="str">
        <x:v>No</x:v>
      </x:c>
      <x:c r="S10" s="163" t="str">
        <x:v>Precision Assembly</x:v>
      </x:c>
      <x:c r="T10" s="163" t="str">
        <x:v>Intermediate</x:v>
      </x:c>
      <x:c r="U10" s="169" t="n">
        <x:v>42000</x:v>
      </x:c>
      <x:c r="V10" s="169" t="n">
        <x:v>8200</x:v>
      </x:c>
      <x:c r="W10" s="169" t="n">
        <x:v>53560</x:v>
      </x:c>
      <x:c r="X10" s="163" t="str">
        <x:v>Pre-2026</x:v>
      </x:c>
      <x:c r="Y10" s="163" t="str">
        <x:v>Yes</x:v>
      </x:c>
      <x:c r="Z10" s="163" t="n">
        <x:f>ROUND((IF(P10="",DATE(2026,12,31),P10)-O10)/30.44,0)</x:f>
        <x:v>85</x:v>
      </x:c>
      <x:c r="AA10" s="169" t="n">
        <x:f>W10*12</x:f>
        <x:v>642720</x:v>
      </x:c>
    </x:row>
    <x:row r="11">
      <x:c r="A11" s="163" t="str">
        <x:v>SG-21015092303</x:v>
      </x:c>
      <x:c r="B11" s="163" t="str">
        <x:v>Rumana Bari</x:v>
      </x:c>
      <x:c r="C11" s="163" t="str">
        <x:v>Female</x:v>
      </x:c>
      <x:c r="D11" s="163" t="n">
        <x:v>23</x:v>
      </x:c>
      <x:c r="E11" s="163" t="str">
        <x:v>Natore</x:v>
      </x:c>
      <x:c r="F11" s="163" t="str">
        <x:v>SG-001</x:v>
      </x:c>
      <x:c r="G11" s="163" t="str">
        <x:v>Sabia Smart Devices Ltd.</x:v>
      </x:c>
      <x:c r="H11" s="163" t="str">
        <x:v>FAC-GZ</x:v>
      </x:c>
      <x:c r="I11" s="163" t="str">
        <x:v>210</x:v>
      </x:c>
      <x:c r="J11" s="163" t="str">
        <x:v>Smartwatch Production</x:v>
      </x:c>
      <x:c r="K11" s="163" t="str">
        <x:v>Precision Assembly Technician</x:v>
      </x:c>
      <x:c r="L11" s="163" t="str">
        <x:v>G2</x:v>
      </x:c>
      <x:c r="M11" s="163" t="str">
        <x:v>Permanent</x:v>
      </x:c>
      <x:c r="N11" s="163" t="str">
        <x:v>C</x:v>
      </x:c>
      <x:c r="O11" s="167" t="n">
        <x:v>45184</x:v>
      </x:c>
      <x:c r="P11" s="167" t="str"/>
      <x:c r="Q11" s="163" t="str">
        <x:v>Active</x:v>
      </x:c>
      <x:c r="R11" s="163" t="str">
        <x:v>Yes</x:v>
      </x:c>
      <x:c r="S11" s="163" t="str">
        <x:v>Precision Assembly</x:v>
      </x:c>
      <x:c r="T11" s="163" t="str">
        <x:v>Intermediate</x:v>
      </x:c>
      <x:c r="U11" s="169" t="n">
        <x:v>31500</x:v>
      </x:c>
      <x:c r="V11" s="169" t="n">
        <x:v>6500</x:v>
      </x:c>
      <x:c r="W11" s="169" t="n">
        <x:v>40520</x:v>
      </x:c>
      <x:c r="X11" s="163" t="str">
        <x:v>Pre-2026</x:v>
      </x:c>
      <x:c r="Y11" s="163" t="str">
        <x:v>Yes</x:v>
      </x:c>
      <x:c r="Z11" s="163" t="n">
        <x:f>ROUND((IF(P11="",DATE(2026,12,31),P11)-O11)/30.44,0)</x:f>
        <x:v>40</x:v>
      </x:c>
      <x:c r="AA11" s="169" t="n">
        <x:f>W11*12</x:f>
        <x:v>486240</x:v>
      </x:c>
    </x:row>
    <x:row r="12">
      <x:c r="A12" s="163" t="str">
        <x:v>SG-21022112304</x:v>
      </x:c>
      <x:c r="B12" s="163" t="str">
        <x:v>Tanjila Chowdhury</x:v>
      </x:c>
      <x:c r="C12" s="163" t="str">
        <x:v>Female</x:v>
      </x:c>
      <x:c r="D12" s="163" t="n">
        <x:v>34</x:v>
      </x:c>
      <x:c r="E12" s="163" t="str">
        <x:v>Narayanganj</x:v>
      </x:c>
      <x:c r="F12" s="163" t="str">
        <x:v>SG-001</x:v>
      </x:c>
      <x:c r="G12" s="163" t="str">
        <x:v>Sabia Smart Devices Ltd.</x:v>
      </x:c>
      <x:c r="H12" s="163" t="str">
        <x:v>FAC-GZ</x:v>
      </x:c>
      <x:c r="I12" s="163" t="str">
        <x:v>210</x:v>
      </x:c>
      <x:c r="J12" s="163" t="str">
        <x:v>Smartwatch Production</x:v>
      </x:c>
      <x:c r="K12" s="163" t="str">
        <x:v>SMT Line Technician</x:v>
      </x:c>
      <x:c r="L12" s="163" t="str">
        <x:v>G2</x:v>
      </x:c>
      <x:c r="M12" s="163" t="str">
        <x:v>Permanent</x:v>
      </x:c>
      <x:c r="N12" s="163" t="str">
        <x:v>C</x:v>
      </x:c>
      <x:c r="O12" s="167" t="n">
        <x:v>45252</x:v>
      </x:c>
      <x:c r="P12" s="167" t="n">
        <x:v>46080</x:v>
      </x:c>
      <x:c r="Q12" s="163" t="str">
        <x:v>Laid Off</x:v>
      </x:c>
      <x:c r="R12" s="163" t="str">
        <x:v>Yes</x:v>
      </x:c>
      <x:c r="S12" s="163" t="str">
        <x:v>Precision Assembly</x:v>
      </x:c>
      <x:c r="T12" s="163" t="str">
        <x:v>Intermediate</x:v>
      </x:c>
      <x:c r="U12" s="169" t="n">
        <x:v>24000</x:v>
      </x:c>
      <x:c r="V12" s="169" t="n">
        <x:v>5300</x:v>
      </x:c>
      <x:c r="W12" s="169" t="n">
        <x:v>31220</x:v>
      </x:c>
      <x:c r="X12" s="163" t="str">
        <x:v>Pre-2026</x:v>
      </x:c>
      <x:c r="Y12" s="163" t="str">
        <x:v>Yes</x:v>
      </x:c>
      <x:c r="Z12" s="163" t="n">
        <x:f>ROUND((IF(P12="",DATE(2026,12,31),P12)-O12)/30.44,0)</x:f>
        <x:v>27</x:v>
      </x:c>
      <x:c r="AA12" s="169" t="n">
        <x:f>W12*12</x:f>
        <x:v>374640</x:v>
      </x:c>
    </x:row>
    <x:row r="13">
      <x:c r="A13" s="163" t="str">
        <x:v>SG-21009112105</x:v>
      </x:c>
      <x:c r="B13" s="163" t="str">
        <x:v>Siam Akter</x:v>
      </x:c>
      <x:c r="C13" s="163" t="str">
        <x:v>Male</x:v>
      </x:c>
      <x:c r="D13" s="163" t="n">
        <x:v>27</x:v>
      </x:c>
      <x:c r="E13" s="163" t="str">
        <x:v>Bogura</x:v>
      </x:c>
      <x:c r="F13" s="163" t="str">
        <x:v>SG-001</x:v>
      </x:c>
      <x:c r="G13" s="163" t="str">
        <x:v>Sabia Smart Devices Ltd.</x:v>
      </x:c>
      <x:c r="H13" s="163" t="str">
        <x:v>FAC-GZ</x:v>
      </x:c>
      <x:c r="I13" s="163" t="str">
        <x:v>210</x:v>
      </x:c>
      <x:c r="J13" s="163" t="str">
        <x:v>Smartwatch Production</x:v>
      </x:c>
      <x:c r="K13" s="163" t="str">
        <x:v>Precision Assembly Technician</x:v>
      </x:c>
      <x:c r="L13" s="163" t="str">
        <x:v>G2</x:v>
      </x:c>
      <x:c r="M13" s="163" t="str">
        <x:v>Permanent</x:v>
      </x:c>
      <x:c r="N13" s="163" t="str">
        <x:v>A</x:v>
      </x:c>
      <x:c r="O13" s="167" t="n">
        <x:v>44509</x:v>
      </x:c>
      <x:c r="P13" s="167" t="n">
        <x:v>46069</x:v>
      </x:c>
      <x:c r="Q13" s="163" t="str">
        <x:v>Laid Off</x:v>
      </x:c>
      <x:c r="R13" s="163" t="str">
        <x:v>Yes</x:v>
      </x:c>
      <x:c r="S13" s="163" t="str">
        <x:v>Precision Assembly</x:v>
      </x:c>
      <x:c r="T13" s="163" t="str">
        <x:v>Certified</x:v>
      </x:c>
      <x:c r="U13" s="169" t="n">
        <x:v>27500</x:v>
      </x:c>
      <x:c r="V13" s="169" t="n">
        <x:v>6900</x:v>
      </x:c>
      <x:c r="W13" s="169" t="n">
        <x:v>36600</x:v>
      </x:c>
      <x:c r="X13" s="163" t="str">
        <x:v>Pre-2026</x:v>
      </x:c>
      <x:c r="Y13" s="163" t="str">
        <x:v>Yes</x:v>
      </x:c>
      <x:c r="Z13" s="163" t="n">
        <x:f>ROUND((IF(P13="",DATE(2026,12,31),P13)-O13)/30.44,0)</x:f>
        <x:v>51</x:v>
      </x:c>
      <x:c r="AA13" s="169" t="n">
        <x:f>W13*12</x:f>
        <x:v>439200</x:v>
      </x:c>
    </x:row>
    <x:row r="14">
      <x:c r="A14" s="163" t="str">
        <x:v>SG-21007012306</x:v>
      </x:c>
      <x:c r="B14" s="163" t="str">
        <x:v>Jubayer Kabir</x:v>
      </x:c>
      <x:c r="C14" s="163" t="str">
        <x:v>Male</x:v>
      </x:c>
      <x:c r="D14" s="163" t="n">
        <x:v>29</x:v>
      </x:c>
      <x:c r="E14" s="163" t="str">
        <x:v>Brahmanbaria</x:v>
      </x:c>
      <x:c r="F14" s="163" t="str">
        <x:v>SG-001</x:v>
      </x:c>
      <x:c r="G14" s="163" t="str">
        <x:v>Sabia Smart Devices Ltd.</x:v>
      </x:c>
      <x:c r="H14" s="163" t="str">
        <x:v>FAC-GZ</x:v>
      </x:c>
      <x:c r="I14" s="163" t="str">
        <x:v>210</x:v>
      </x:c>
      <x:c r="J14" s="163" t="str">
        <x:v>Smartwatch Production</x:v>
      </x:c>
      <x:c r="K14" s="163" t="str">
        <x:v>Production Supervisor</x:v>
      </x:c>
      <x:c r="L14" s="163" t="str">
        <x:v>G4</x:v>
      </x:c>
      <x:c r="M14" s="163" t="str">
        <x:v>Probation</x:v>
      </x:c>
      <x:c r="N14" s="163" t="str">
        <x:v>A</x:v>
      </x:c>
      <x:c r="O14" s="167" t="n">
        <x:v>44933</x:v>
      </x:c>
      <x:c r="P14" s="167" t="n">
        <x:v>46069</x:v>
      </x:c>
      <x:c r="Q14" s="163" t="str">
        <x:v>Laid Off</x:v>
      </x:c>
      <x:c r="R14" s="163" t="str">
        <x:v>No</x:v>
      </x:c>
      <x:c r="S14" s="163" t="str">
        <x:v>Precision Assembly</x:v>
      </x:c>
      <x:c r="T14" s="163" t="str">
        <x:v>Certified</x:v>
      </x:c>
      <x:c r="U14" s="169" t="n">
        <x:v>46000</x:v>
      </x:c>
      <x:c r="V14" s="169" t="n">
        <x:v>8400</x:v>
      </x:c>
      <x:c r="W14" s="169" t="n">
        <x:v>58080</x:v>
      </x:c>
      <x:c r="X14" s="163" t="str">
        <x:v>Pre-2026</x:v>
      </x:c>
      <x:c r="Y14" s="163" t="str">
        <x:v>Yes</x:v>
      </x:c>
      <x:c r="Z14" s="163" t="n">
        <x:f>ROUND((IF(P14="",DATE(2026,12,31),P14)-O14)/30.44,0)</x:f>
        <x:v>37</x:v>
      </x:c>
      <x:c r="AA14" s="169" t="n">
        <x:f>W14*12</x:f>
        <x:v>696960</x:v>
      </x:c>
    </x:row>
    <x:row r="15">
      <x:c r="A15" s="163" t="str">
        <x:v>SG-21012042207</x:v>
      </x:c>
      <x:c r="B15" s="163" t="str">
        <x:v>Raisa Karim</x:v>
      </x:c>
      <x:c r="C15" s="163" t="str">
        <x:v>Female</x:v>
      </x:c>
      <x:c r="D15" s="163" t="n">
        <x:v>28</x:v>
      </x:c>
      <x:c r="E15" s="163" t="str">
        <x:v>Cumilla</x:v>
      </x:c>
      <x:c r="F15" s="163" t="str">
        <x:v>SG-001</x:v>
      </x:c>
      <x:c r="G15" s="163" t="str">
        <x:v>Sabia Smart Devices Ltd.</x:v>
      </x:c>
      <x:c r="H15" s="163" t="str">
        <x:v>FAC-GZ</x:v>
      </x:c>
      <x:c r="I15" s="163" t="str">
        <x:v>210</x:v>
      </x:c>
      <x:c r="J15" s="163" t="str">
        <x:v>Smartwatch Production</x:v>
      </x:c>
      <x:c r="K15" s="163" t="str">
        <x:v>Assembly Operator</x:v>
      </x:c>
      <x:c r="L15" s="163" t="str">
        <x:v>G1</x:v>
      </x:c>
      <x:c r="M15" s="163" t="str">
        <x:v>Permanent</x:v>
      </x:c>
      <x:c r="N15" s="163" t="str">
        <x:v>B</x:v>
      </x:c>
      <x:c r="O15" s="167" t="n">
        <x:v>44663</x:v>
      </x:c>
      <x:c r="P15" s="167" t="n">
        <x:v>46076</x:v>
      </x:c>
      <x:c r="Q15" s="163" t="str">
        <x:v>Laid Off</x:v>
      </x:c>
      <x:c r="R15" s="163" t="str">
        <x:v>No</x:v>
      </x:c>
      <x:c r="S15" s="163" t="str">
        <x:v>Precision Assembly</x:v>
      </x:c>
      <x:c r="T15" s="163" t="str">
        <x:v>Intermediate</x:v>
      </x:c>
      <x:c r="U15" s="169" t="n">
        <x:v>17500</x:v>
      </x:c>
      <x:c r="V15" s="169" t="n">
        <x:v>3700</x:v>
      </x:c>
      <x:c r="W15" s="169" t="n">
        <x:v>22600</x:v>
      </x:c>
      <x:c r="X15" s="163" t="str">
        <x:v>Pre-2026</x:v>
      </x:c>
      <x:c r="Y15" s="163" t="str">
        <x:v>Yes</x:v>
      </x:c>
      <x:c r="Z15" s="163" t="n">
        <x:f>ROUND((IF(P15="",DATE(2026,12,31),P15)-O15)/30.44,0)</x:f>
        <x:v>46</x:v>
      </x:c>
      <x:c r="AA15" s="169" t="n">
        <x:f>W15*12</x:f>
        <x:v>271200</x:v>
      </x:c>
    </x:row>
    <x:row r="16">
      <x:c r="A16" s="163" t="str">
        <x:v>SG-21024051808</x:v>
      </x:c>
      <x:c r="B16" s="163" t="str">
        <x:v>Jubayer Khan</x:v>
      </x:c>
      <x:c r="C16" s="163" t="str">
        <x:v>Male</x:v>
      </x:c>
      <x:c r="D16" s="163" t="n">
        <x:v>31</x:v>
      </x:c>
      <x:c r="E16" s="163" t="str">
        <x:v>Sirajganj</x:v>
      </x:c>
      <x:c r="F16" s="163" t="str">
        <x:v>SG-001</x:v>
      </x:c>
      <x:c r="G16" s="163" t="str">
        <x:v>Sabia Smart Devices Ltd.</x:v>
      </x:c>
      <x:c r="H16" s="163" t="str">
        <x:v>FAC-GZ</x:v>
      </x:c>
      <x:c r="I16" s="163" t="str">
        <x:v>210</x:v>
      </x:c>
      <x:c r="J16" s="163" t="str">
        <x:v>Smartwatch Production</x:v>
      </x:c>
      <x:c r="K16" s="163" t="str">
        <x:v>Production Manager</x:v>
      </x:c>
      <x:c r="L16" s="163" t="str">
        <x:v>G6</x:v>
      </x:c>
      <x:c r="M16" s="163" t="str">
        <x:v>Permanent</x:v>
      </x:c>
      <x:c r="N16" s="163" t="str">
        <x:v>A</x:v>
      </x:c>
      <x:c r="O16" s="167" t="n">
        <x:v>43244</x:v>
      </x:c>
      <x:c r="P16" s="167" t="str"/>
      <x:c r="Q16" s="163" t="str">
        <x:v>Active</x:v>
      </x:c>
      <x:c r="R16" s="163" t="str">
        <x:v>No</x:v>
      </x:c>
      <x:c r="S16" s="163" t="str">
        <x:v>Precision Assembly</x:v>
      </x:c>
      <x:c r="T16" s="163" t="str">
        <x:v>Certified</x:v>
      </x:c>
      <x:c r="U16" s="169" t="n">
        <x:v>145000</x:v>
      </x:c>
      <x:c r="V16" s="169" t="n">
        <x:v>26100</x:v>
      </x:c>
      <x:c r="W16" s="169" t="n">
        <x:v>182700</x:v>
      </x:c>
      <x:c r="X16" s="163" t="str">
        <x:v>Pre-2026</x:v>
      </x:c>
      <x:c r="Y16" s="163" t="str">
        <x:v>Yes</x:v>
      </x:c>
      <x:c r="Z16" s="163" t="n">
        <x:f>ROUND((IF(P16="",DATE(2026,12,31),P16)-O16)/30.44,0)</x:f>
        <x:v>103</x:v>
      </x:c>
      <x:c r="AA16" s="169" t="n">
        <x:f>W16*12</x:f>
        <x:v>2192400</x:v>
      </x:c>
    </x:row>
    <x:row r="17">
      <x:c r="A17" s="163" t="str">
        <x:v>SG-21008062009</x:v>
      </x:c>
      <x:c r="B17" s="163" t="str">
        <x:v>Sumaiya Uddin</x:v>
      </x:c>
      <x:c r="C17" s="163" t="str">
        <x:v>Female</x:v>
      </x:c>
      <x:c r="D17" s="163" t="n">
        <x:v>30</x:v>
      </x:c>
      <x:c r="E17" s="163" t="str">
        <x:v>Feni</x:v>
      </x:c>
      <x:c r="F17" s="163" t="str">
        <x:v>SG-001</x:v>
      </x:c>
      <x:c r="G17" s="163" t="str">
        <x:v>Sabia Smart Devices Ltd.</x:v>
      </x:c>
      <x:c r="H17" s="163" t="str">
        <x:v>FAC-GZ</x:v>
      </x:c>
      <x:c r="I17" s="163" t="str">
        <x:v>210</x:v>
      </x:c>
      <x:c r="J17" s="163" t="str">
        <x:v>Smartwatch Production</x:v>
      </x:c>
      <x:c r="K17" s="163" t="str">
        <x:v>Assembly Operator</x:v>
      </x:c>
      <x:c r="L17" s="163" t="str">
        <x:v>G1</x:v>
      </x:c>
      <x:c r="M17" s="163" t="str">
        <x:v>Probation</x:v>
      </x:c>
      <x:c r="N17" s="163" t="str">
        <x:v>A</x:v>
      </x:c>
      <x:c r="O17" s="167" t="n">
        <x:v>43990</x:v>
      </x:c>
      <x:c r="P17" s="167" t="n">
        <x:v>46064</x:v>
      </x:c>
      <x:c r="Q17" s="163" t="str">
        <x:v>Laid Off</x:v>
      </x:c>
      <x:c r="R17" s="163" t="str">
        <x:v>No</x:v>
      </x:c>
      <x:c r="S17" s="163" t="str">
        <x:v>Precision Assembly</x:v>
      </x:c>
      <x:c r="T17" s="163" t="str">
        <x:v>Advanced</x:v>
      </x:c>
      <x:c r="U17" s="169" t="n">
        <x:v>17500</x:v>
      </x:c>
      <x:c r="V17" s="169" t="n">
        <x:v>3800</x:v>
      </x:c>
      <x:c r="W17" s="169" t="n">
        <x:v>22700</x:v>
      </x:c>
      <x:c r="X17" s="163" t="str">
        <x:v>Pre-2026</x:v>
      </x:c>
      <x:c r="Y17" s="163" t="str">
        <x:v>Yes</x:v>
      </x:c>
      <x:c r="Z17" s="163" t="n">
        <x:f>ROUND((IF(P17="",DATE(2026,12,31),P17)-O17)/30.44,0)</x:f>
        <x:v>68</x:v>
      </x:c>
      <x:c r="AA17" s="169" t="n">
        <x:f>W17*12</x:f>
        <x:v>272400</x:v>
      </x:c>
    </x:row>
    <x:row r="18">
      <x:c r="A18" s="163" t="str">
        <x:v>SG-21003032210</x:v>
      </x:c>
      <x:c r="B18" s="163" t="str">
        <x:v>Aminul Jahan</x:v>
      </x:c>
      <x:c r="C18" s="163" t="str">
        <x:v>Male</x:v>
      </x:c>
      <x:c r="D18" s="163" t="n">
        <x:v>28</x:v>
      </x:c>
      <x:c r="E18" s="163" t="str">
        <x:v>Kushtia</x:v>
      </x:c>
      <x:c r="F18" s="163" t="str">
        <x:v>SG-001</x:v>
      </x:c>
      <x:c r="G18" s="163" t="str">
        <x:v>Sabia Smart Devices Ltd.</x:v>
      </x:c>
      <x:c r="H18" s="163" t="str">
        <x:v>FAC-GZ</x:v>
      </x:c>
      <x:c r="I18" s="163" t="str">
        <x:v>210</x:v>
      </x:c>
      <x:c r="J18" s="163" t="str">
        <x:v>Smartwatch Production</x:v>
      </x:c>
      <x:c r="K18" s="163" t="str">
        <x:v>SMT Line Technician</x:v>
      </x:c>
      <x:c r="L18" s="163" t="str">
        <x:v>G2</x:v>
      </x:c>
      <x:c r="M18" s="163" t="str">
        <x:v>Permanent</x:v>
      </x:c>
      <x:c r="N18" s="163" t="str">
        <x:v>A</x:v>
      </x:c>
      <x:c r="O18" s="167" t="n">
        <x:v>44623</x:v>
      </x:c>
      <x:c r="P18" s="167" t="str"/>
      <x:c r="Q18" s="163" t="str">
        <x:v>Active</x:v>
      </x:c>
      <x:c r="R18" s="163" t="str">
        <x:v>Yes</x:v>
      </x:c>
      <x:c r="S18" s="163" t="str">
        <x:v>Precision Assembly</x:v>
      </x:c>
      <x:c r="T18" s="163" t="str">
        <x:v>Intermediate</x:v>
      </x:c>
      <x:c r="U18" s="169" t="n">
        <x:v>29500</x:v>
      </x:c>
      <x:c r="V18" s="169" t="n">
        <x:v>5100</x:v>
      </x:c>
      <x:c r="W18" s="169" t="n">
        <x:v>36960</x:v>
      </x:c>
      <x:c r="X18" s="163" t="str">
        <x:v>Pre-2026</x:v>
      </x:c>
      <x:c r="Y18" s="163" t="str">
        <x:v>Yes</x:v>
      </x:c>
      <x:c r="Z18" s="163" t="n">
        <x:f>ROUND((IF(P18="",DATE(2026,12,31),P18)-O18)/30.44,0)</x:f>
        <x:v>58</x:v>
      </x:c>
      <x:c r="AA18" s="169" t="n">
        <x:f>W18*12</x:f>
        <x:v>443520</x:v>
      </x:c>
    </x:row>
    <x:row r="19">
      <x:c r="A19" s="163" t="str">
        <x:v>SG-21027092011</x:v>
      </x:c>
      <x:c r="B19" s="163" t="str">
        <x:v>Saif Islam</x:v>
      </x:c>
      <x:c r="C19" s="163" t="str">
        <x:v>Male</x:v>
      </x:c>
      <x:c r="D19" s="163" t="n">
        <x:v>34</x:v>
      </x:c>
      <x:c r="E19" s="163" t="str">
        <x:v>Brahmanbaria</x:v>
      </x:c>
      <x:c r="F19" s="163" t="str">
        <x:v>SG-001</x:v>
      </x:c>
      <x:c r="G19" s="163" t="str">
        <x:v>Sabia Smart Devices Ltd.</x:v>
      </x:c>
      <x:c r="H19" s="163" t="str">
        <x:v>FAC-GZ</x:v>
      </x:c>
      <x:c r="I19" s="163" t="str">
        <x:v>210</x:v>
      </x:c>
      <x:c r="J19" s="163" t="str">
        <x:v>Smartwatch Production</x:v>
      </x:c>
      <x:c r="K19" s="163" t="str">
        <x:v>Production Line Leader</x:v>
      </x:c>
      <x:c r="L19" s="163" t="str">
        <x:v>G3</x:v>
      </x:c>
      <x:c r="M19" s="163" t="str">
        <x:v>Permanent</x:v>
      </x:c>
      <x:c r="N19" s="163" t="str">
        <x:v>B</x:v>
      </x:c>
      <x:c r="O19" s="167" t="n">
        <x:v>44101</x:v>
      </x:c>
      <x:c r="P19" s="167" t="n">
        <x:v>46078</x:v>
      </x:c>
      <x:c r="Q19" s="163" t="str">
        <x:v>Laid Off</x:v>
      </x:c>
      <x:c r="R19" s="163" t="str">
        <x:v>No</x:v>
      </x:c>
      <x:c r="S19" s="163" t="str">
        <x:v>Precision Assembly</x:v>
      </x:c>
      <x:c r="T19" s="163" t="str">
        <x:v>Entry</x:v>
      </x:c>
      <x:c r="U19" s="169" t="n">
        <x:v>43000</x:v>
      </x:c>
      <x:c r="V19" s="169" t="n">
        <x:v>6400</x:v>
      </x:c>
      <x:c r="W19" s="169" t="n">
        <x:v>52840</x:v>
      </x:c>
      <x:c r="X19" s="163" t="str">
        <x:v>Pre-2026</x:v>
      </x:c>
      <x:c r="Y19" s="163" t="str">
        <x:v>Yes</x:v>
      </x:c>
      <x:c r="Z19" s="163" t="n">
        <x:f>ROUND((IF(P19="",DATE(2026,12,31),P19)-O19)/30.44,0)</x:f>
        <x:v>65</x:v>
      </x:c>
      <x:c r="AA19" s="169" t="n">
        <x:f>W19*12</x:f>
        <x:v>634080</x:v>
      </x:c>
    </x:row>
    <x:row r="20">
      <x:c r="A20" s="163" t="str">
        <x:v>SG-21014031912</x:v>
      </x:c>
      <x:c r="B20" s="163" t="str">
        <x:v>Tanjila Akter</x:v>
      </x:c>
      <x:c r="C20" s="163" t="str">
        <x:v>Female</x:v>
      </x:c>
      <x:c r="D20" s="163" t="n">
        <x:v>29</x:v>
      </x:c>
      <x:c r="E20" s="163" t="str">
        <x:v>Brahmanbaria</x:v>
      </x:c>
      <x:c r="F20" s="163" t="str">
        <x:v>SG-001</x:v>
      </x:c>
      <x:c r="G20" s="163" t="str">
        <x:v>Sabia Smart Devices Ltd.</x:v>
      </x:c>
      <x:c r="H20" s="163" t="str">
        <x:v>FAC-GZ</x:v>
      </x:c>
      <x:c r="I20" s="163" t="str">
        <x:v>210</x:v>
      </x:c>
      <x:c r="J20" s="163" t="str">
        <x:v>Smartwatch Production</x:v>
      </x:c>
      <x:c r="K20" s="163" t="str">
        <x:v>Production Line Leader</x:v>
      </x:c>
      <x:c r="L20" s="163" t="str">
        <x:v>G3</x:v>
      </x:c>
      <x:c r="M20" s="163" t="str">
        <x:v>Permanent</x:v>
      </x:c>
      <x:c r="N20" s="163" t="str">
        <x:v>B</x:v>
      </x:c>
      <x:c r="O20" s="167" t="n">
        <x:v>43538</x:v>
      </x:c>
      <x:c r="P20" s="167" t="n">
        <x:v>46079</x:v>
      </x:c>
      <x:c r="Q20" s="163" t="str">
        <x:v>Laid Off</x:v>
      </x:c>
      <x:c r="R20" s="163" t="str">
        <x:v>No</x:v>
      </x:c>
      <x:c r="S20" s="163" t="str">
        <x:v>Precision Assembly</x:v>
      </x:c>
      <x:c r="T20" s="163" t="str">
        <x:v>Intermediate</x:v>
      </x:c>
      <x:c r="U20" s="169" t="n">
        <x:v>40000</x:v>
      </x:c>
      <x:c r="V20" s="169" t="n">
        <x:v>6600</x:v>
      </x:c>
      <x:c r="W20" s="169" t="n">
        <x:v>49800</x:v>
      </x:c>
      <x:c r="X20" s="163" t="str">
        <x:v>Pre-2026</x:v>
      </x:c>
      <x:c r="Y20" s="163" t="str">
        <x:v>Yes</x:v>
      </x:c>
      <x:c r="Z20" s="163" t="n">
        <x:f>ROUND((IF(P20="",DATE(2026,12,31),P20)-O20)/30.44,0)</x:f>
        <x:v>83</x:v>
      </x:c>
      <x:c r="AA20" s="169" t="n">
        <x:f>W20*12</x:f>
        <x:v>597600</x:v>
      </x:c>
    </x:row>
    <x:row r="21">
      <x:c r="A21" s="163" t="str">
        <x:v>SG-21004102013</x:v>
      </x:c>
      <x:c r="B21" s="163" t="str">
        <x:v>Rafi Jahan</x:v>
      </x:c>
      <x:c r="C21" s="163" t="str">
        <x:v>Male</x:v>
      </x:c>
      <x:c r="D21" s="163" t="n">
        <x:v>29</x:v>
      </x:c>
      <x:c r="E21" s="163" t="str">
        <x:v>Narayanganj</x:v>
      </x:c>
      <x:c r="F21" s="163" t="str">
        <x:v>SG-001</x:v>
      </x:c>
      <x:c r="G21" s="163" t="str">
        <x:v>Sabia Smart Devices Ltd.</x:v>
      </x:c>
      <x:c r="H21" s="163" t="str">
        <x:v>FAC-GZ</x:v>
      </x:c>
      <x:c r="I21" s="163" t="str">
        <x:v>210</x:v>
      </x:c>
      <x:c r="J21" s="163" t="str">
        <x:v>Smartwatch Production</x:v>
      </x:c>
      <x:c r="K21" s="163" t="str">
        <x:v>Precision Assembly Technician</x:v>
      </x:c>
      <x:c r="L21" s="163" t="str">
        <x:v>G2</x:v>
      </x:c>
      <x:c r="M21" s="163" t="str">
        <x:v>Permanent</x:v>
      </x:c>
      <x:c r="N21" s="163" t="str">
        <x:v>C</x:v>
      </x:c>
      <x:c r="O21" s="167" t="n">
        <x:v>44108</x:v>
      </x:c>
      <x:c r="P21" s="167" t="n">
        <x:v>46077</x:v>
      </x:c>
      <x:c r="Q21" s="163" t="str">
        <x:v>Laid Off</x:v>
      </x:c>
      <x:c r="R21" s="163" t="str">
        <x:v>Yes</x:v>
      </x:c>
      <x:c r="S21" s="163" t="str">
        <x:v>Precision Assembly</x:v>
      </x:c>
      <x:c r="T21" s="163" t="str">
        <x:v>Certified</x:v>
      </x:c>
      <x:c r="U21" s="169" t="n">
        <x:v>28000</x:v>
      </x:c>
      <x:c r="V21" s="169" t="n">
        <x:v>6500</x:v>
      </x:c>
      <x:c r="W21" s="169" t="n">
        <x:v>36740</x:v>
      </x:c>
      <x:c r="X21" s="163" t="str">
        <x:v>Pre-2026</x:v>
      </x:c>
      <x:c r="Y21" s="163" t="str">
        <x:v>Yes</x:v>
      </x:c>
      <x:c r="Z21" s="163" t="n">
        <x:f>ROUND((IF(P21="",DATE(2026,12,31),P21)-O21)/30.44,0)</x:f>
        <x:v>65</x:v>
      </x:c>
      <x:c r="AA21" s="169" t="n">
        <x:f>W21*12</x:f>
        <x:v>440880</x:v>
      </x:c>
    </x:row>
    <x:row r="22">
      <x:c r="A22" s="163" t="str">
        <x:v>SG-21007081814</x:v>
      </x:c>
      <x:c r="B22" s="163" t="str">
        <x:v>Rumana Sultana</x:v>
      </x:c>
      <x:c r="C22" s="163" t="str">
        <x:v>Female</x:v>
      </x:c>
      <x:c r="D22" s="163" t="n">
        <x:v>23</x:v>
      </x:c>
      <x:c r="E22" s="163" t="str">
        <x:v>Kushtia</x:v>
      </x:c>
      <x:c r="F22" s="163" t="str">
        <x:v>SG-001</x:v>
      </x:c>
      <x:c r="G22" s="163" t="str">
        <x:v>Sabia Smart Devices Ltd.</x:v>
      </x:c>
      <x:c r="H22" s="163" t="str">
        <x:v>FAC-GZ</x:v>
      </x:c>
      <x:c r="I22" s="163" t="str">
        <x:v>210</x:v>
      </x:c>
      <x:c r="J22" s="163" t="str">
        <x:v>Smartwatch Production</x:v>
      </x:c>
      <x:c r="K22" s="163" t="str">
        <x:v>Assembly Operator</x:v>
      </x:c>
      <x:c r="L22" s="163" t="str">
        <x:v>G1</x:v>
      </x:c>
      <x:c r="M22" s="163" t="str">
        <x:v>Probation</x:v>
      </x:c>
      <x:c r="N22" s="163" t="str">
        <x:v>C</x:v>
      </x:c>
      <x:c r="O22" s="167" t="n">
        <x:v>43319</x:v>
      </x:c>
      <x:c r="P22" s="167" t="n">
        <x:v>46075</x:v>
      </x:c>
      <x:c r="Q22" s="163" t="str">
        <x:v>Laid Off</x:v>
      </x:c>
      <x:c r="R22" s="163" t="str">
        <x:v>No</x:v>
      </x:c>
      <x:c r="S22" s="163" t="str">
        <x:v>Precision Assembly</x:v>
      </x:c>
      <x:c r="T22" s="163" t="str">
        <x:v>Entry</x:v>
      </x:c>
      <x:c r="U22" s="169" t="n">
        <x:v>21500</x:v>
      </x:c>
      <x:c r="V22" s="169" t="n">
        <x:v>4500</x:v>
      </x:c>
      <x:c r="W22" s="169" t="n">
        <x:v>27720</x:v>
      </x:c>
      <x:c r="X22" s="163" t="str">
        <x:v>Pre-2026</x:v>
      </x:c>
      <x:c r="Y22" s="163" t="str">
        <x:v>Yes</x:v>
      </x:c>
      <x:c r="Z22" s="163" t="n">
        <x:f>ROUND((IF(P22="",DATE(2026,12,31),P22)-O22)/30.44,0)</x:f>
        <x:v>91</x:v>
      </x:c>
      <x:c r="AA22" s="169" t="n">
        <x:f>W22*12</x:f>
        <x:v>332640</x:v>
      </x:c>
    </x:row>
    <x:row r="23">
      <x:c r="A23" s="163" t="str">
        <x:v>SG-21027042115</x:v>
      </x:c>
      <x:c r="B23" s="163" t="str">
        <x:v>Jubayer Hasan</x:v>
      </x:c>
      <x:c r="C23" s="163" t="str">
        <x:v>Male</x:v>
      </x:c>
      <x:c r="D23" s="163" t="n">
        <x:v>28</x:v>
      </x:c>
      <x:c r="E23" s="163" t="str">
        <x:v>Rajshahi</x:v>
      </x:c>
      <x:c r="F23" s="163" t="str">
        <x:v>SG-001</x:v>
      </x:c>
      <x:c r="G23" s="163" t="str">
        <x:v>Sabia Smart Devices Ltd.</x:v>
      </x:c>
      <x:c r="H23" s="163" t="str">
        <x:v>FAC-GZ</x:v>
      </x:c>
      <x:c r="I23" s="163" t="str">
        <x:v>210</x:v>
      </x:c>
      <x:c r="J23" s="163" t="str">
        <x:v>Smartwatch Production</x:v>
      </x:c>
      <x:c r="K23" s="163" t="str">
        <x:v>Production Line Leader</x:v>
      </x:c>
      <x:c r="L23" s="163" t="str">
        <x:v>G3</x:v>
      </x:c>
      <x:c r="M23" s="163" t="str">
        <x:v>Permanent</x:v>
      </x:c>
      <x:c r="N23" s="163" t="str">
        <x:v>A</x:v>
      </x:c>
      <x:c r="O23" s="167" t="n">
        <x:v>44313</x:v>
      </x:c>
      <x:c r="P23" s="167" t="n">
        <x:v>46079</x:v>
      </x:c>
      <x:c r="Q23" s="163" t="str">
        <x:v>Laid Off</x:v>
      </x:c>
      <x:c r="R23" s="163" t="str">
        <x:v>No</x:v>
      </x:c>
      <x:c r="S23" s="163" t="str">
        <x:v>Precision Assembly</x:v>
      </x:c>
      <x:c r="T23" s="163" t="str">
        <x:v>Advanced</x:v>
      </x:c>
      <x:c r="U23" s="169" t="n">
        <x:v>32000</x:v>
      </x:c>
      <x:c r="V23" s="169" t="n">
        <x:v>4500</x:v>
      </x:c>
      <x:c r="W23" s="169" t="n">
        <x:v>39060</x:v>
      </x:c>
      <x:c r="X23" s="163" t="str">
        <x:v>Pre-2026</x:v>
      </x:c>
      <x:c r="Y23" s="163" t="str">
        <x:v>Yes</x:v>
      </x:c>
      <x:c r="Z23" s="163" t="n">
        <x:f>ROUND((IF(P23="",DATE(2026,12,31),P23)-O23)/30.44,0)</x:f>
        <x:v>58</x:v>
      </x:c>
      <x:c r="AA23" s="169" t="n">
        <x:f>W23*12</x:f>
        <x:v>468720</x:v>
      </x:c>
    </x:row>
    <x:row r="24">
      <x:c r="A24" s="163" t="str">
        <x:v>SG-21026071916</x:v>
      </x:c>
      <x:c r="B24" s="163" t="str">
        <x:v>Shakil Kabir</x:v>
      </x:c>
      <x:c r="C24" s="163" t="str">
        <x:v>Male</x:v>
      </x:c>
      <x:c r="D24" s="163" t="n">
        <x:v>27</x:v>
      </x:c>
      <x:c r="E24" s="163" t="str">
        <x:v>Mymensingh</x:v>
      </x:c>
      <x:c r="F24" s="163" t="str">
        <x:v>SG-001</x:v>
      </x:c>
      <x:c r="G24" s="163" t="str">
        <x:v>Sabia Smart Devices Ltd.</x:v>
      </x:c>
      <x:c r="H24" s="163" t="str">
        <x:v>FAC-GZ</x:v>
      </x:c>
      <x:c r="I24" s="163" t="str">
        <x:v>210</x:v>
      </x:c>
      <x:c r="J24" s="163" t="str">
        <x:v>Smartwatch Production</x:v>
      </x:c>
      <x:c r="K24" s="163" t="str">
        <x:v>Precision Assembly Technician</x:v>
      </x:c>
      <x:c r="L24" s="163" t="str">
        <x:v>G2</x:v>
      </x:c>
      <x:c r="M24" s="163" t="str">
        <x:v>Permanent</x:v>
      </x:c>
      <x:c r="N24" s="163" t="str">
        <x:v>A</x:v>
      </x:c>
      <x:c r="O24" s="167" t="n">
        <x:v>43672</x:v>
      </x:c>
      <x:c r="P24" s="167" t="n">
        <x:v>46074</x:v>
      </x:c>
      <x:c r="Q24" s="163" t="str">
        <x:v>Laid Off</x:v>
      </x:c>
      <x:c r="R24" s="163" t="str">
        <x:v>Yes</x:v>
      </x:c>
      <x:c r="S24" s="163" t="str">
        <x:v>Precision Assembly</x:v>
      </x:c>
      <x:c r="T24" s="163" t="str">
        <x:v>Certified</x:v>
      </x:c>
      <x:c r="U24" s="169" t="n">
        <x:v>27000</x:v>
      </x:c>
      <x:c r="V24" s="169" t="n">
        <x:v>5000</x:v>
      </x:c>
      <x:c r="W24" s="169" t="n">
        <x:v>34160</x:v>
      </x:c>
      <x:c r="X24" s="163" t="str">
        <x:v>Pre-2026</x:v>
      </x:c>
      <x:c r="Y24" s="163" t="str">
        <x:v>Yes</x:v>
      </x:c>
      <x:c r="Z24" s="163" t="n">
        <x:f>ROUND((IF(P24="",DATE(2026,12,31),P24)-O24)/30.44,0)</x:f>
        <x:v>79</x:v>
      </x:c>
      <x:c r="AA24" s="169" t="n">
        <x:f>W24*12</x:f>
        <x:v>409920</x:v>
      </x:c>
    </x:row>
    <x:row r="25">
      <x:c r="A25" s="163" t="str">
        <x:v>SG-21020121817</x:v>
      </x:c>
      <x:c r="B25" s="163" t="str">
        <x:v>Rumana Ahmed</x:v>
      </x:c>
      <x:c r="C25" s="163" t="str">
        <x:v>Female</x:v>
      </x:c>
      <x:c r="D25" s="163" t="n">
        <x:v>32</x:v>
      </x:c>
      <x:c r="E25" s="163" t="str">
        <x:v>Rajshahi</x:v>
      </x:c>
      <x:c r="F25" s="163" t="str">
        <x:v>SG-001</x:v>
      </x:c>
      <x:c r="G25" s="163" t="str">
        <x:v>Sabia Smart Devices Ltd.</x:v>
      </x:c>
      <x:c r="H25" s="163" t="str">
        <x:v>FAC-GZ</x:v>
      </x:c>
      <x:c r="I25" s="163" t="str">
        <x:v>210</x:v>
      </x:c>
      <x:c r="J25" s="163" t="str">
        <x:v>Smartwatch Production</x:v>
      </x:c>
      <x:c r="K25" s="163" t="str">
        <x:v>SMT Line Technician</x:v>
      </x:c>
      <x:c r="L25" s="163" t="str">
        <x:v>G2</x:v>
      </x:c>
      <x:c r="M25" s="163" t="str">
        <x:v>Permanent</x:v>
      </x:c>
      <x:c r="N25" s="163" t="str">
        <x:v>B</x:v>
      </x:c>
      <x:c r="O25" s="167" t="n">
        <x:v>43454</x:v>
      </x:c>
      <x:c r="P25" s="167" t="n">
        <x:v>46081</x:v>
      </x:c>
      <x:c r="Q25" s="163" t="str">
        <x:v>Laid Off</x:v>
      </x:c>
      <x:c r="R25" s="163" t="str">
        <x:v>Yes</x:v>
      </x:c>
      <x:c r="S25" s="163" t="str">
        <x:v>Precision Assembly</x:v>
      </x:c>
      <x:c r="T25" s="163" t="str">
        <x:v>Certified</x:v>
      </x:c>
      <x:c r="U25" s="169" t="n">
        <x:v>29500</x:v>
      </x:c>
      <x:c r="V25" s="169" t="n">
        <x:v>6400</x:v>
      </x:c>
      <x:c r="W25" s="169" t="n">
        <x:v>38260</x:v>
      </x:c>
      <x:c r="X25" s="163" t="str">
        <x:v>Pre-2026</x:v>
      </x:c>
      <x:c r="Y25" s="163" t="str">
        <x:v>Yes</x:v>
      </x:c>
      <x:c r="Z25" s="163" t="n">
        <x:f>ROUND((IF(P25="",DATE(2026,12,31),P25)-O25)/30.44,0)</x:f>
        <x:v>86</x:v>
      </x:c>
      <x:c r="AA25" s="169" t="n">
        <x:f>W25*12</x:f>
        <x:v>459120</x:v>
      </x:c>
    </x:row>
    <x:row r="26">
      <x:c r="A26" s="163" t="str">
        <x:v>SG-21014112418</x:v>
      </x:c>
      <x:c r="B26" s="163" t="str">
        <x:v>Sanjida Rahman</x:v>
      </x:c>
      <x:c r="C26" s="163" t="str">
        <x:v>Female</x:v>
      </x:c>
      <x:c r="D26" s="163" t="n">
        <x:v>31</x:v>
      </x:c>
      <x:c r="E26" s="163" t="str">
        <x:v>Gazipur</x:v>
      </x:c>
      <x:c r="F26" s="163" t="str">
        <x:v>SG-001</x:v>
      </x:c>
      <x:c r="G26" s="163" t="str">
        <x:v>Sabia Smart Devices Ltd.</x:v>
      </x:c>
      <x:c r="H26" s="163" t="str">
        <x:v>FAC-GZ</x:v>
      </x:c>
      <x:c r="I26" s="163" t="str">
        <x:v>210</x:v>
      </x:c>
      <x:c r="J26" s="163" t="str">
        <x:v>Smartwatch Production</x:v>
      </x:c>
      <x:c r="K26" s="163" t="str">
        <x:v>Production Line Leader</x:v>
      </x:c>
      <x:c r="L26" s="163" t="str">
        <x:v>G3</x:v>
      </x:c>
      <x:c r="M26" s="163" t="str">
        <x:v>Probation</x:v>
      </x:c>
      <x:c r="N26" s="163" t="str">
        <x:v>A</x:v>
      </x:c>
      <x:c r="O26" s="167" t="n">
        <x:v>45610</x:v>
      </x:c>
      <x:c r="P26" s="167" t="n">
        <x:v>46064</x:v>
      </x:c>
      <x:c r="Q26" s="163" t="str">
        <x:v>Laid Off</x:v>
      </x:c>
      <x:c r="R26" s="163" t="str">
        <x:v>No</x:v>
      </x:c>
      <x:c r="S26" s="163" t="str">
        <x:v>Precision Assembly</x:v>
      </x:c>
      <x:c r="T26" s="163" t="str">
        <x:v>Entry</x:v>
      </x:c>
      <x:c r="U26" s="169" t="n">
        <x:v>34500</x:v>
      </x:c>
      <x:c r="V26" s="169" t="n">
        <x:v>7000</x:v>
      </x:c>
      <x:c r="W26" s="169" t="n">
        <x:v>44260</x:v>
      </x:c>
      <x:c r="X26" s="163" t="str">
        <x:v>Pre-2026</x:v>
      </x:c>
      <x:c r="Y26" s="163" t="str">
        <x:v>Yes</x:v>
      </x:c>
      <x:c r="Z26" s="163" t="n">
        <x:f>ROUND((IF(P26="",DATE(2026,12,31),P26)-O26)/30.44,0)</x:f>
        <x:v>15</x:v>
      </x:c>
      <x:c r="AA26" s="169" t="n">
        <x:f>W26*12</x:f>
        <x:v>531120</x:v>
      </x:c>
    </x:row>
    <x:row r="27">
      <x:c r="A27" s="163" t="str">
        <x:v>SG-21017092019</x:v>
      </x:c>
      <x:c r="B27" s="163" t="str">
        <x:v>Aminul Karim</x:v>
      </x:c>
      <x:c r="C27" s="163" t="str">
        <x:v>Male</x:v>
      </x:c>
      <x:c r="D27" s="163" t="n">
        <x:v>21</x:v>
      </x:c>
      <x:c r="E27" s="163" t="str">
        <x:v>Brahmanbaria</x:v>
      </x:c>
      <x:c r="F27" s="163" t="str">
        <x:v>SG-001</x:v>
      </x:c>
      <x:c r="G27" s="163" t="str">
        <x:v>Sabia Smart Devices Ltd.</x:v>
      </x:c>
      <x:c r="H27" s="163" t="str">
        <x:v>FAC-GZ</x:v>
      </x:c>
      <x:c r="I27" s="163" t="str">
        <x:v>210</x:v>
      </x:c>
      <x:c r="J27" s="163" t="str">
        <x:v>Smartwatch Production</x:v>
      </x:c>
      <x:c r="K27" s="163" t="str">
        <x:v>Assembly Operator</x:v>
      </x:c>
      <x:c r="L27" s="163" t="str">
        <x:v>G1</x:v>
      </x:c>
      <x:c r="M27" s="163" t="str">
        <x:v>Permanent</x:v>
      </x:c>
      <x:c r="N27" s="163" t="str">
        <x:v>B</x:v>
      </x:c>
      <x:c r="O27" s="167" t="n">
        <x:v>44091</x:v>
      </x:c>
      <x:c r="P27" s="167" t="n">
        <x:v>46065</x:v>
      </x:c>
      <x:c r="Q27" s="163" t="str">
        <x:v>Laid Off</x:v>
      </x:c>
      <x:c r="R27" s="163" t="str">
        <x:v>No</x:v>
      </x:c>
      <x:c r="S27" s="163" t="str">
        <x:v>Precision Assembly</x:v>
      </x:c>
      <x:c r="T27" s="163" t="str">
        <x:v>Entry</x:v>
      </x:c>
      <x:c r="U27" s="169" t="n">
        <x:v>20000</x:v>
      </x:c>
      <x:c r="V27" s="169" t="n">
        <x:v>4000</x:v>
      </x:c>
      <x:c r="W27" s="169" t="n">
        <x:v>25600</x:v>
      </x:c>
      <x:c r="X27" s="163" t="str">
        <x:v>Pre-2026</x:v>
      </x:c>
      <x:c r="Y27" s="163" t="str">
        <x:v>Yes</x:v>
      </x:c>
      <x:c r="Z27" s="163" t="n">
        <x:f>ROUND((IF(P27="",DATE(2026,12,31),P27)-O27)/30.44,0)</x:f>
        <x:v>65</x:v>
      </x:c>
      <x:c r="AA27" s="169" t="n">
        <x:f>W27*12</x:f>
        <x:v>307200</x:v>
      </x:c>
    </x:row>
    <x:row r="28">
      <x:c r="A28" s="163" t="str">
        <x:v>SG-21009042120</x:v>
      </x:c>
      <x:c r="B28" s="163" t="str">
        <x:v>Rashed Alam</x:v>
      </x:c>
      <x:c r="C28" s="163" t="str">
        <x:v>Male</x:v>
      </x:c>
      <x:c r="D28" s="163" t="n">
        <x:v>37</x:v>
      </x:c>
      <x:c r="E28" s="163" t="str">
        <x:v>Chattogram</x:v>
      </x:c>
      <x:c r="F28" s="163" t="str">
        <x:v>SG-001</x:v>
      </x:c>
      <x:c r="G28" s="163" t="str">
        <x:v>Sabia Smart Devices Ltd.</x:v>
      </x:c>
      <x:c r="H28" s="163" t="str">
        <x:v>FAC-GZ</x:v>
      </x:c>
      <x:c r="I28" s="163" t="str">
        <x:v>210</x:v>
      </x:c>
      <x:c r="J28" s="163" t="str">
        <x:v>Smartwatch Production</x:v>
      </x:c>
      <x:c r="K28" s="163" t="str">
        <x:v>Production Line Leader</x:v>
      </x:c>
      <x:c r="L28" s="163" t="str">
        <x:v>G3</x:v>
      </x:c>
      <x:c r="M28" s="163" t="str">
        <x:v>Probation</x:v>
      </x:c>
      <x:c r="N28" s="163" t="str">
        <x:v>A</x:v>
      </x:c>
      <x:c r="O28" s="167" t="n">
        <x:v>44295</x:v>
      </x:c>
      <x:c r="P28" s="167" t="str"/>
      <x:c r="Q28" s="163" t="str">
        <x:v>Active</x:v>
      </x:c>
      <x:c r="R28" s="163" t="str">
        <x:v>No</x:v>
      </x:c>
      <x:c r="S28" s="163" t="str">
        <x:v>Precision Assembly</x:v>
      </x:c>
      <x:c r="T28" s="163" t="str">
        <x:v>Certified</x:v>
      </x:c>
      <x:c r="U28" s="169" t="n">
        <x:v>37000</x:v>
      </x:c>
      <x:c r="V28" s="169" t="n">
        <x:v>7500</x:v>
      </x:c>
      <x:c r="W28" s="169" t="n">
        <x:v>47460</x:v>
      </x:c>
      <x:c r="X28" s="163" t="str">
        <x:v>Pre-2026</x:v>
      </x:c>
      <x:c r="Y28" s="163" t="str">
        <x:v>Yes</x:v>
      </x:c>
      <x:c r="Z28" s="163" t="n">
        <x:f>ROUND((IF(P28="",DATE(2026,12,31),P28)-O28)/30.44,0)</x:f>
        <x:v>69</x:v>
      </x:c>
      <x:c r="AA28" s="169" t="n">
        <x:f>W28*12</x:f>
        <x:v>569520</x:v>
      </x:c>
    </x:row>
    <x:row r="29">
      <x:c r="A29" s="163" t="str">
        <x:v>SG-21017062021</x:v>
      </x:c>
      <x:c r="B29" s="163" t="str">
        <x:v>Mim Kabir</x:v>
      </x:c>
      <x:c r="C29" s="163" t="str">
        <x:v>Female</x:v>
      </x:c>
      <x:c r="D29" s="163" t="n">
        <x:v>29</x:v>
      </x:c>
      <x:c r="E29" s="163" t="str">
        <x:v>Gazipur</x:v>
      </x:c>
      <x:c r="F29" s="163" t="str">
        <x:v>SG-001</x:v>
      </x:c>
      <x:c r="G29" s="163" t="str">
        <x:v>Sabia Smart Devices Ltd.</x:v>
      </x:c>
      <x:c r="H29" s="163" t="str">
        <x:v>FAC-GZ</x:v>
      </x:c>
      <x:c r="I29" s="163" t="str">
        <x:v>210</x:v>
      </x:c>
      <x:c r="J29" s="163" t="str">
        <x:v>Smartwatch Production</x:v>
      </x:c>
      <x:c r="K29" s="163" t="str">
        <x:v>Production Manager</x:v>
      </x:c>
      <x:c r="L29" s="163" t="str">
        <x:v>G6</x:v>
      </x:c>
      <x:c r="M29" s="163" t="str">
        <x:v>Permanent</x:v>
      </x:c>
      <x:c r="N29" s="163" t="str">
        <x:v>A</x:v>
      </x:c>
      <x:c r="O29" s="167" t="n">
        <x:v>43999</x:v>
      </x:c>
      <x:c r="P29" s="167" t="str"/>
      <x:c r="Q29" s="163" t="str">
        <x:v>Active</x:v>
      </x:c>
      <x:c r="R29" s="163" t="str">
        <x:v>No</x:v>
      </x:c>
      <x:c r="S29" s="163" t="str">
        <x:v>Precision Assembly</x:v>
      </x:c>
      <x:c r="T29" s="163" t="str">
        <x:v>Intermediate</x:v>
      </x:c>
      <x:c r="U29" s="169" t="n">
        <x:v>164500</x:v>
      </x:c>
      <x:c r="V29" s="169" t="n">
        <x:v>36200</x:v>
      </x:c>
      <x:c r="W29" s="169" t="n">
        <x:v>213860</x:v>
      </x:c>
      <x:c r="X29" s="163" t="str">
        <x:v>Pre-2026</x:v>
      </x:c>
      <x:c r="Y29" s="163" t="str">
        <x:v>Yes</x:v>
      </x:c>
      <x:c r="Z29" s="163" t="n">
        <x:f>ROUND((IF(P29="",DATE(2026,12,31),P29)-O29)/30.44,0)</x:f>
        <x:v>78</x:v>
      </x:c>
      <x:c r="AA29" s="169" t="n">
        <x:f>W29*12</x:f>
        <x:v>2566320</x:v>
      </x:c>
    </x:row>
    <x:row r="30">
      <x:c r="A30" s="163" t="str">
        <x:v>SG-21022041822</x:v>
      </x:c>
      <x:c r="B30" s="163" t="str">
        <x:v>Rafi Uddin</x:v>
      </x:c>
      <x:c r="C30" s="163" t="str">
        <x:v>Male</x:v>
      </x:c>
      <x:c r="D30" s="163" t="n">
        <x:v>36</x:v>
      </x:c>
      <x:c r="E30" s="163" t="str">
        <x:v>Jashore</x:v>
      </x:c>
      <x:c r="F30" s="163" t="str">
        <x:v>SG-001</x:v>
      </x:c>
      <x:c r="G30" s="163" t="str">
        <x:v>Sabia Smart Devices Ltd.</x:v>
      </x:c>
      <x:c r="H30" s="163" t="str">
        <x:v>FAC-GZ</x:v>
      </x:c>
      <x:c r="I30" s="163" t="str">
        <x:v>210</x:v>
      </x:c>
      <x:c r="J30" s="163" t="str">
        <x:v>Smartwatch Production</x:v>
      </x:c>
      <x:c r="K30" s="163" t="str">
        <x:v>Precision Assembly Technician</x:v>
      </x:c>
      <x:c r="L30" s="163" t="str">
        <x:v>G2</x:v>
      </x:c>
      <x:c r="M30" s="163" t="str">
        <x:v>Permanent</x:v>
      </x:c>
      <x:c r="N30" s="163" t="str">
        <x:v>A</x:v>
      </x:c>
      <x:c r="O30" s="167" t="n">
        <x:v>43212</x:v>
      </x:c>
      <x:c r="P30" s="167" t="n">
        <x:v>46079</x:v>
      </x:c>
      <x:c r="Q30" s="163" t="str">
        <x:v>Laid Off</x:v>
      </x:c>
      <x:c r="R30" s="163" t="str">
        <x:v>Yes</x:v>
      </x:c>
      <x:c r="S30" s="163" t="str">
        <x:v>Precision Assembly</x:v>
      </x:c>
      <x:c r="T30" s="163" t="str">
        <x:v>Entry</x:v>
      </x:c>
      <x:c r="U30" s="169" t="n">
        <x:v>31000</x:v>
      </x:c>
      <x:c r="V30" s="169" t="n">
        <x:v>7000</x:v>
      </x:c>
      <x:c r="W30" s="169" t="n">
        <x:v>40480</x:v>
      </x:c>
      <x:c r="X30" s="163" t="str">
        <x:v>Pre-2026</x:v>
      </x:c>
      <x:c r="Y30" s="163" t="str">
        <x:v>Yes</x:v>
      </x:c>
      <x:c r="Z30" s="163" t="n">
        <x:f>ROUND((IF(P30="",DATE(2026,12,31),P30)-O30)/30.44,0)</x:f>
        <x:v>94</x:v>
      </x:c>
      <x:c r="AA30" s="169" t="n">
        <x:f>W30*12</x:f>
        <x:v>485760</x:v>
      </x:c>
    </x:row>
    <x:row r="31">
      <x:c r="A31" s="163" t="str">
        <x:v>SG-21019031923</x:v>
      </x:c>
      <x:c r="B31" s="163" t="str">
        <x:v>Siam Miah</x:v>
      </x:c>
      <x:c r="C31" s="163" t="str">
        <x:v>Male</x:v>
      </x:c>
      <x:c r="D31" s="163" t="n">
        <x:v>28</x:v>
      </x:c>
      <x:c r="E31" s="163" t="str">
        <x:v>Brahmanbaria</x:v>
      </x:c>
      <x:c r="F31" s="163" t="str">
        <x:v>SG-001</x:v>
      </x:c>
      <x:c r="G31" s="163" t="str">
        <x:v>Sabia Smart Devices Ltd.</x:v>
      </x:c>
      <x:c r="H31" s="163" t="str">
        <x:v>FAC-GZ</x:v>
      </x:c>
      <x:c r="I31" s="163" t="str">
        <x:v>210</x:v>
      </x:c>
      <x:c r="J31" s="163" t="str">
        <x:v>Smartwatch Production</x:v>
      </x:c>
      <x:c r="K31" s="163" t="str">
        <x:v>SMT Line Technician</x:v>
      </x:c>
      <x:c r="L31" s="163" t="str">
        <x:v>G2</x:v>
      </x:c>
      <x:c r="M31" s="163" t="str">
        <x:v>Permanent</x:v>
      </x:c>
      <x:c r="N31" s="163" t="str">
        <x:v>C</x:v>
      </x:c>
      <x:c r="O31" s="167" t="n">
        <x:v>43543</x:v>
      </x:c>
      <x:c r="P31" s="167" t="n">
        <x:v>46061</x:v>
      </x:c>
      <x:c r="Q31" s="163" t="str">
        <x:v>Laid Off</x:v>
      </x:c>
      <x:c r="R31" s="163" t="str">
        <x:v>Yes</x:v>
      </x:c>
      <x:c r="S31" s="163" t="str">
        <x:v>Precision Assembly</x:v>
      </x:c>
      <x:c r="T31" s="163" t="str">
        <x:v>Entry</x:v>
      </x:c>
      <x:c r="U31" s="169" t="n">
        <x:v>27000</x:v>
      </x:c>
      <x:c r="V31" s="169" t="n">
        <x:v>4600</x:v>
      </x:c>
      <x:c r="W31" s="169" t="n">
        <x:v>33760</x:v>
      </x:c>
      <x:c r="X31" s="163" t="str">
        <x:v>Pre-2026</x:v>
      </x:c>
      <x:c r="Y31" s="163" t="str">
        <x:v>Yes</x:v>
      </x:c>
      <x:c r="Z31" s="163" t="n">
        <x:f>ROUND((IF(P31="",DATE(2026,12,31),P31)-O31)/30.44,0)</x:f>
        <x:v>83</x:v>
      </x:c>
      <x:c r="AA31" s="169" t="n">
        <x:f>W31*12</x:f>
        <x:v>405120</x:v>
      </x:c>
    </x:row>
    <x:row r="32">
      <x:c r="A32" s="163" t="str">
        <x:v>SG-21015012424</x:v>
      </x:c>
      <x:c r="B32" s="163" t="str">
        <x:v>Rumana Khan</x:v>
      </x:c>
      <x:c r="C32" s="163" t="str">
        <x:v>Female</x:v>
      </x:c>
      <x:c r="D32" s="163" t="n">
        <x:v>33</x:v>
      </x:c>
      <x:c r="E32" s="163" t="str">
        <x:v>Jashore</x:v>
      </x:c>
      <x:c r="F32" s="163" t="str">
        <x:v>SG-001</x:v>
      </x:c>
      <x:c r="G32" s="163" t="str">
        <x:v>Sabia Smart Devices Ltd.</x:v>
      </x:c>
      <x:c r="H32" s="163" t="str">
        <x:v>FAC-GZ</x:v>
      </x:c>
      <x:c r="I32" s="163" t="str">
        <x:v>210</x:v>
      </x:c>
      <x:c r="J32" s="163" t="str">
        <x:v>Smartwatch Production</x:v>
      </x:c>
      <x:c r="K32" s="163" t="str">
        <x:v>Assembly Operator</x:v>
      </x:c>
      <x:c r="L32" s="163" t="str">
        <x:v>G1</x:v>
      </x:c>
      <x:c r="M32" s="163" t="str">
        <x:v>Permanent</x:v>
      </x:c>
      <x:c r="N32" s="163" t="str">
        <x:v>A</x:v>
      </x:c>
      <x:c r="O32" s="167" t="n">
        <x:v>45306</x:v>
      </x:c>
      <x:c r="P32" s="167" t="n">
        <x:v>46062</x:v>
      </x:c>
      <x:c r="Q32" s="163" t="str">
        <x:v>Laid Off</x:v>
      </x:c>
      <x:c r="R32" s="163" t="str">
        <x:v>No</x:v>
      </x:c>
      <x:c r="S32" s="163" t="str">
        <x:v>Precision Assembly</x:v>
      </x:c>
      <x:c r="T32" s="163" t="str">
        <x:v>Intermediate</x:v>
      </x:c>
      <x:c r="U32" s="169" t="n">
        <x:v>18500</x:v>
      </x:c>
      <x:c r="V32" s="169" t="n">
        <x:v>2900</x:v>
      </x:c>
      <x:c r="W32" s="169" t="n">
        <x:v>22880</x:v>
      </x:c>
      <x:c r="X32" s="163" t="str">
        <x:v>Pre-2026</x:v>
      </x:c>
      <x:c r="Y32" s="163" t="str">
        <x:v>Yes</x:v>
      </x:c>
      <x:c r="Z32" s="163" t="n">
        <x:f>ROUND((IF(P32="",DATE(2026,12,31),P32)-O32)/30.44,0)</x:f>
        <x:v>25</x:v>
      </x:c>
      <x:c r="AA32" s="169" t="n">
        <x:f>W32*12</x:f>
        <x:v>274560</x:v>
      </x:c>
    </x:row>
    <x:row r="33">
      <x:c r="A33" s="163" t="str">
        <x:v>SG-21028021825</x:v>
      </x:c>
      <x:c r="B33" s="163" t="str">
        <x:v>Tanjila Ahmed</x:v>
      </x:c>
      <x:c r="C33" s="163" t="str">
        <x:v>Female</x:v>
      </x:c>
      <x:c r="D33" s="163" t="n">
        <x:v>26</x:v>
      </x:c>
      <x:c r="E33" s="163" t="str">
        <x:v>Pabna</x:v>
      </x:c>
      <x:c r="F33" s="163" t="str">
        <x:v>SG-001</x:v>
      </x:c>
      <x:c r="G33" s="163" t="str">
        <x:v>Sabia Smart Devices Ltd.</x:v>
      </x:c>
      <x:c r="H33" s="163" t="str">
        <x:v>FAC-GZ</x:v>
      </x:c>
      <x:c r="I33" s="163" t="str">
        <x:v>210</x:v>
      </x:c>
      <x:c r="J33" s="163" t="str">
        <x:v>Smartwatch Production</x:v>
      </x:c>
      <x:c r="K33" s="163" t="str">
        <x:v>Assembly Operator</x:v>
      </x:c>
      <x:c r="L33" s="163" t="str">
        <x:v>G1</x:v>
      </x:c>
      <x:c r="M33" s="163" t="str">
        <x:v>Permanent</x:v>
      </x:c>
      <x:c r="N33" s="163" t="str">
        <x:v>B</x:v>
      </x:c>
      <x:c r="O33" s="167" t="n">
        <x:v>43159</x:v>
      </x:c>
      <x:c r="P33" s="167" t="n">
        <x:v>46089</x:v>
      </x:c>
      <x:c r="Q33" s="163" t="str">
        <x:v>Laid Off</x:v>
      </x:c>
      <x:c r="R33" s="163" t="str">
        <x:v>No</x:v>
      </x:c>
      <x:c r="S33" s="163" t="str">
        <x:v>Precision Assembly</x:v>
      </x:c>
      <x:c r="T33" s="163" t="str">
        <x:v>Entry</x:v>
      </x:c>
      <x:c r="U33" s="169" t="n">
        <x:v>19000</x:v>
      </x:c>
      <x:c r="V33" s="169" t="n">
        <x:v>2900</x:v>
      </x:c>
      <x:c r="W33" s="169" t="n">
        <x:v>23420</x:v>
      </x:c>
      <x:c r="X33" s="163" t="str">
        <x:v>Pre-2026</x:v>
      </x:c>
      <x:c r="Y33" s="163" t="str">
        <x:v>Yes</x:v>
      </x:c>
      <x:c r="Z33" s="163" t="n">
        <x:f>ROUND((IF(P33="",DATE(2026,12,31),P33)-O33)/30.44,0)</x:f>
        <x:v>96</x:v>
      </x:c>
      <x:c r="AA33" s="169" t="n">
        <x:f>W33*12</x:f>
        <x:v>281040</x:v>
      </x:c>
    </x:row>
    <x:row r="34">
      <x:c r="A34" s="163" t="str">
        <x:v>SG-21002032026</x:v>
      </x:c>
      <x:c r="B34" s="163" t="str">
        <x:v>Tanjila Islam</x:v>
      </x:c>
      <x:c r="C34" s="163" t="str">
        <x:v>Female</x:v>
      </x:c>
      <x:c r="D34" s="163" t="n">
        <x:v>25</x:v>
      </x:c>
      <x:c r="E34" s="163" t="str">
        <x:v>Noakhali</x:v>
      </x:c>
      <x:c r="F34" s="163" t="str">
        <x:v>SG-001</x:v>
      </x:c>
      <x:c r="G34" s="163" t="str">
        <x:v>Sabia Smart Devices Ltd.</x:v>
      </x:c>
      <x:c r="H34" s="163" t="str">
        <x:v>FAC-GZ</x:v>
      </x:c>
      <x:c r="I34" s="163" t="str">
        <x:v>210</x:v>
      </x:c>
      <x:c r="J34" s="163" t="str">
        <x:v>Smartwatch Production</x:v>
      </x:c>
      <x:c r="K34" s="163" t="str">
        <x:v>SMT Line Technician</x:v>
      </x:c>
      <x:c r="L34" s="163" t="str">
        <x:v>G2</x:v>
      </x:c>
      <x:c r="M34" s="163" t="str">
        <x:v>Probation</x:v>
      </x:c>
      <x:c r="N34" s="163" t="str">
        <x:v>A</x:v>
      </x:c>
      <x:c r="O34" s="167" t="n">
        <x:v>43892</x:v>
      </x:c>
      <x:c r="P34" s="167" t="str"/>
      <x:c r="Q34" s="163" t="str">
        <x:v>Active</x:v>
      </x:c>
      <x:c r="R34" s="163" t="str">
        <x:v>Yes</x:v>
      </x:c>
      <x:c r="S34" s="163" t="str">
        <x:v>Precision Assembly</x:v>
      </x:c>
      <x:c r="T34" s="163" t="str">
        <x:v>Entry</x:v>
      </x:c>
      <x:c r="U34" s="169" t="n">
        <x:v>28500</x:v>
      </x:c>
      <x:c r="V34" s="169" t="n">
        <x:v>4500</x:v>
      </x:c>
      <x:c r="W34" s="169" t="n">
        <x:v>35280</x:v>
      </x:c>
      <x:c r="X34" s="163" t="str">
        <x:v>Pre-2026</x:v>
      </x:c>
      <x:c r="Y34" s="163" t="str">
        <x:v>Yes</x:v>
      </x:c>
      <x:c r="Z34" s="163" t="n">
        <x:f>ROUND((IF(P34="",DATE(2026,12,31),P34)-O34)/30.44,0)</x:f>
        <x:v>82</x:v>
      </x:c>
      <x:c r="AA34" s="169" t="n">
        <x:f>W34*12</x:f>
        <x:v>423360</x:v>
      </x:c>
    </x:row>
    <x:row r="35">
      <x:c r="A35" s="163" t="str">
        <x:v>SG-21022031927</x:v>
      </x:c>
      <x:c r="B35" s="163" t="str">
        <x:v>Tamim Kabir</x:v>
      </x:c>
      <x:c r="C35" s="163" t="str">
        <x:v>Male</x:v>
      </x:c>
      <x:c r="D35" s="163" t="n">
        <x:v>27</x:v>
      </x:c>
      <x:c r="E35" s="163" t="str">
        <x:v>Gazipur</x:v>
      </x:c>
      <x:c r="F35" s="163" t="str">
        <x:v>SG-001</x:v>
      </x:c>
      <x:c r="G35" s="163" t="str">
        <x:v>Sabia Smart Devices Ltd.</x:v>
      </x:c>
      <x:c r="H35" s="163" t="str">
        <x:v>FAC-GZ</x:v>
      </x:c>
      <x:c r="I35" s="163" t="str">
        <x:v>210</x:v>
      </x:c>
      <x:c r="J35" s="163" t="str">
        <x:v>Smartwatch Production</x:v>
      </x:c>
      <x:c r="K35" s="163" t="str">
        <x:v>Assembly Operator</x:v>
      </x:c>
      <x:c r="L35" s="163" t="str">
        <x:v>G1</x:v>
      </x:c>
      <x:c r="M35" s="163" t="str">
        <x:v>Permanent</x:v>
      </x:c>
      <x:c r="N35" s="163" t="str">
        <x:v>B</x:v>
      </x:c>
      <x:c r="O35" s="167" t="n">
        <x:v>43546</x:v>
      </x:c>
      <x:c r="P35" s="167" t="n">
        <x:v>46059</x:v>
      </x:c>
      <x:c r="Q35" s="163" t="str">
        <x:v>Laid Off</x:v>
      </x:c>
      <x:c r="R35" s="163" t="str">
        <x:v>No</x:v>
      </x:c>
      <x:c r="S35" s="163" t="str">
        <x:v>Precision Assembly</x:v>
      </x:c>
      <x:c r="T35" s="163" t="str">
        <x:v>Certified</x:v>
      </x:c>
      <x:c r="U35" s="169" t="n">
        <x:v>20500</x:v>
      </x:c>
      <x:c r="V35" s="169" t="n">
        <x:v>3900</x:v>
      </x:c>
      <x:c r="W35" s="169" t="n">
        <x:v>26040</x:v>
      </x:c>
      <x:c r="X35" s="163" t="str">
        <x:v>Pre-2026</x:v>
      </x:c>
      <x:c r="Y35" s="163" t="str">
        <x:v>Yes</x:v>
      </x:c>
      <x:c r="Z35" s="163" t="n">
        <x:f>ROUND((IF(P35="",DATE(2026,12,31),P35)-O35)/30.44,0)</x:f>
        <x:v>83</x:v>
      </x:c>
      <x:c r="AA35" s="169" t="n">
        <x:f>W35*12</x:f>
        <x:v>312480</x:v>
      </x:c>
    </x:row>
    <x:row r="36">
      <x:c r="A36" s="163" t="str">
        <x:v>SG-21015012328</x:v>
      </x:c>
      <x:c r="B36" s="163" t="str">
        <x:v>Nabila Ahmed</x:v>
      </x:c>
      <x:c r="C36" s="163" t="str">
        <x:v>Female</x:v>
      </x:c>
      <x:c r="D36" s="163" t="n">
        <x:v>27</x:v>
      </x:c>
      <x:c r="E36" s="163" t="str">
        <x:v>Narayanganj</x:v>
      </x:c>
      <x:c r="F36" s="163" t="str">
        <x:v>SG-001</x:v>
      </x:c>
      <x:c r="G36" s="163" t="str">
        <x:v>Sabia Smart Devices Ltd.</x:v>
      </x:c>
      <x:c r="H36" s="163" t="str">
        <x:v>FAC-GZ</x:v>
      </x:c>
      <x:c r="I36" s="163" t="str">
        <x:v>210</x:v>
      </x:c>
      <x:c r="J36" s="163" t="str">
        <x:v>Smartwatch Production</x:v>
      </x:c>
      <x:c r="K36" s="163" t="str">
        <x:v>SMT Line Technician</x:v>
      </x:c>
      <x:c r="L36" s="163" t="str">
        <x:v>G2</x:v>
      </x:c>
      <x:c r="M36" s="163" t="str">
        <x:v>Probation</x:v>
      </x:c>
      <x:c r="N36" s="163" t="str">
        <x:v>A</x:v>
      </x:c>
      <x:c r="O36" s="167" t="n">
        <x:v>44941</x:v>
      </x:c>
      <x:c r="P36" s="167" t="str"/>
      <x:c r="Q36" s="163" t="str">
        <x:v>Active</x:v>
      </x:c>
      <x:c r="R36" s="163" t="str">
        <x:v>Yes</x:v>
      </x:c>
      <x:c r="S36" s="163" t="str">
        <x:v>Precision Assembly</x:v>
      </x:c>
      <x:c r="T36" s="163" t="str">
        <x:v>Certified</x:v>
      </x:c>
      <x:c r="U36" s="169" t="n">
        <x:v>29000</x:v>
      </x:c>
      <x:c r="V36" s="169" t="n">
        <x:v>6500</x:v>
      </x:c>
      <x:c r="W36" s="169" t="n">
        <x:v>37820</x:v>
      </x:c>
      <x:c r="X36" s="163" t="str">
        <x:v>Pre-2026</x:v>
      </x:c>
      <x:c r="Y36" s="163" t="str">
        <x:v>Yes</x:v>
      </x:c>
      <x:c r="Z36" s="163" t="n">
        <x:f>ROUND((IF(P36="",DATE(2026,12,31),P36)-O36)/30.44,0)</x:f>
        <x:v>48</x:v>
      </x:c>
      <x:c r="AA36" s="169" t="n">
        <x:f>W36*12</x:f>
        <x:v>453840</x:v>
      </x:c>
    </x:row>
    <x:row r="37">
      <x:c r="A37" s="163" t="str">
        <x:v>SG-21016092329</x:v>
      </x:c>
      <x:c r="B37" s="163" t="str">
        <x:v>Riyad Chowdhury</x:v>
      </x:c>
      <x:c r="C37" s="163" t="str">
        <x:v>Male</x:v>
      </x:c>
      <x:c r="D37" s="163" t="n">
        <x:v>33</x:v>
      </x:c>
      <x:c r="E37" s="163" t="str">
        <x:v>Natore</x:v>
      </x:c>
      <x:c r="F37" s="163" t="str">
        <x:v>SG-001</x:v>
      </x:c>
      <x:c r="G37" s="163" t="str">
        <x:v>Sabia Smart Devices Ltd.</x:v>
      </x:c>
      <x:c r="H37" s="163" t="str">
        <x:v>FAC-GZ</x:v>
      </x:c>
      <x:c r="I37" s="163" t="str">
        <x:v>210</x:v>
      </x:c>
      <x:c r="J37" s="163" t="str">
        <x:v>Smartwatch Production</x:v>
      </x:c>
      <x:c r="K37" s="163" t="str">
        <x:v>SMT Line Technician</x:v>
      </x:c>
      <x:c r="L37" s="163" t="str">
        <x:v>G2</x:v>
      </x:c>
      <x:c r="M37" s="163" t="str">
        <x:v>Permanent</x:v>
      </x:c>
      <x:c r="N37" s="163" t="str">
        <x:v>A</x:v>
      </x:c>
      <x:c r="O37" s="167" t="n">
        <x:v>45185</x:v>
      </x:c>
      <x:c r="P37" s="167" t="str"/>
      <x:c r="Q37" s="163" t="str">
        <x:v>Active</x:v>
      </x:c>
      <x:c r="R37" s="163" t="str">
        <x:v>Yes</x:v>
      </x:c>
      <x:c r="S37" s="163" t="str">
        <x:v>Precision Assembly</x:v>
      </x:c>
      <x:c r="T37" s="163" t="str">
        <x:v>Intermediate</x:v>
      </x:c>
      <x:c r="U37" s="169" t="n">
        <x:v>27000</x:v>
      </x:c>
      <x:c r="V37" s="169" t="n">
        <x:v>4900</x:v>
      </x:c>
      <x:c r="W37" s="169" t="n">
        <x:v>34060</x:v>
      </x:c>
      <x:c r="X37" s="163" t="str">
        <x:v>Pre-2026</x:v>
      </x:c>
      <x:c r="Y37" s="163" t="str">
        <x:v>Yes</x:v>
      </x:c>
      <x:c r="Z37" s="163" t="n">
        <x:f>ROUND((IF(P37="",DATE(2026,12,31),P37)-O37)/30.44,0)</x:f>
        <x:v>39</x:v>
      </x:c>
      <x:c r="AA37" s="169" t="n">
        <x:f>W37*12</x:f>
        <x:v>408720</x:v>
      </x:c>
    </x:row>
    <x:row r="38">
      <x:c r="A38" s="163" t="str">
        <x:v>SG-21012042030</x:v>
      </x:c>
      <x:c r="B38" s="163" t="str">
        <x:v>Moin Sultana</x:v>
      </x:c>
      <x:c r="C38" s="163" t="str">
        <x:v>Male</x:v>
      </x:c>
      <x:c r="D38" s="163" t="n">
        <x:v>28</x:v>
      </x:c>
      <x:c r="E38" s="163" t="str">
        <x:v>Gazipur</x:v>
      </x:c>
      <x:c r="F38" s="163" t="str">
        <x:v>SG-001</x:v>
      </x:c>
      <x:c r="G38" s="163" t="str">
        <x:v>Sabia Smart Devices Ltd.</x:v>
      </x:c>
      <x:c r="H38" s="163" t="str">
        <x:v>FAC-GZ</x:v>
      </x:c>
      <x:c r="I38" s="163" t="str">
        <x:v>210</x:v>
      </x:c>
      <x:c r="J38" s="163" t="str">
        <x:v>Smartwatch Production</x:v>
      </x:c>
      <x:c r="K38" s="163" t="str">
        <x:v>Precision Assembly Technician</x:v>
      </x:c>
      <x:c r="L38" s="163" t="str">
        <x:v>G2</x:v>
      </x:c>
      <x:c r="M38" s="163" t="str">
        <x:v>Permanent</x:v>
      </x:c>
      <x:c r="N38" s="163" t="str">
        <x:v>C</x:v>
      </x:c>
      <x:c r="O38" s="167" t="n">
        <x:v>43933</x:v>
      </x:c>
      <x:c r="P38" s="167" t="n">
        <x:v>46086</x:v>
      </x:c>
      <x:c r="Q38" s="163" t="str">
        <x:v>Laid Off</x:v>
      </x:c>
      <x:c r="R38" s="163" t="str">
        <x:v>Yes</x:v>
      </x:c>
      <x:c r="S38" s="163" t="str">
        <x:v>Precision Assembly</x:v>
      </x:c>
      <x:c r="T38" s="163" t="str">
        <x:v>Intermediate</x:v>
      </x:c>
      <x:c r="U38" s="169" t="n">
        <x:v>29500</x:v>
      </x:c>
      <x:c r="V38" s="169" t="n">
        <x:v>4100</x:v>
      </x:c>
      <x:c r="W38" s="169" t="n">
        <x:v>35960</x:v>
      </x:c>
      <x:c r="X38" s="163" t="str">
        <x:v>Pre-2026</x:v>
      </x:c>
      <x:c r="Y38" s="163" t="str">
        <x:v>Yes</x:v>
      </x:c>
      <x:c r="Z38" s="163" t="n">
        <x:f>ROUND((IF(P38="",DATE(2026,12,31),P38)-O38)/30.44,0)</x:f>
        <x:v>71</x:v>
      </x:c>
      <x:c r="AA38" s="169" t="n">
        <x:f>W38*12</x:f>
        <x:v>431520</x:v>
      </x:c>
    </x:row>
    <x:row r="39">
      <x:c r="A39" s="163" t="str">
        <x:v>SG-21026012031</x:v>
      </x:c>
      <x:c r="B39" s="163" t="str">
        <x:v>Nusrat Akter</x:v>
      </x:c>
      <x:c r="C39" s="163" t="str">
        <x:v>Female</x:v>
      </x:c>
      <x:c r="D39" s="163" t="n">
        <x:v>30</x:v>
      </x:c>
      <x:c r="E39" s="163" t="str">
        <x:v>Kushtia</x:v>
      </x:c>
      <x:c r="F39" s="163" t="str">
        <x:v>SG-001</x:v>
      </x:c>
      <x:c r="G39" s="163" t="str">
        <x:v>Sabia Smart Devices Ltd.</x:v>
      </x:c>
      <x:c r="H39" s="163" t="str">
        <x:v>FAC-GZ</x:v>
      </x:c>
      <x:c r="I39" s="163" t="str">
        <x:v>210</x:v>
      </x:c>
      <x:c r="J39" s="163" t="str">
        <x:v>Smartwatch Production</x:v>
      </x:c>
      <x:c r="K39" s="163" t="str">
        <x:v>Precision Assembly Technician</x:v>
      </x:c>
      <x:c r="L39" s="163" t="str">
        <x:v>G2</x:v>
      </x:c>
      <x:c r="M39" s="163" t="str">
        <x:v>Permanent</x:v>
      </x:c>
      <x:c r="N39" s="163" t="str">
        <x:v>B</x:v>
      </x:c>
      <x:c r="O39" s="167" t="n">
        <x:v>43856</x:v>
      </x:c>
      <x:c r="P39" s="167" t="str"/>
      <x:c r="Q39" s="163" t="str">
        <x:v>Active</x:v>
      </x:c>
      <x:c r="R39" s="163" t="str">
        <x:v>Yes</x:v>
      </x:c>
      <x:c r="S39" s="163" t="str">
        <x:v>Precision Assembly</x:v>
      </x:c>
      <x:c r="T39" s="163" t="str">
        <x:v>Certified</x:v>
      </x:c>
      <x:c r="U39" s="169" t="n">
        <x:v>31500</x:v>
      </x:c>
      <x:c r="V39" s="169" t="n">
        <x:v>4100</x:v>
      </x:c>
      <x:c r="W39" s="169" t="n">
        <x:v>38120</x:v>
      </x:c>
      <x:c r="X39" s="163" t="str">
        <x:v>Pre-2026</x:v>
      </x:c>
      <x:c r="Y39" s="163" t="str">
        <x:v>Yes</x:v>
      </x:c>
      <x:c r="Z39" s="163" t="n">
        <x:f>ROUND((IF(P39="",DATE(2026,12,31),P39)-O39)/30.44,0)</x:f>
        <x:v>83</x:v>
      </x:c>
      <x:c r="AA39" s="169" t="n">
        <x:f>W39*12</x:f>
        <x:v>457440</x:v>
      </x:c>
    </x:row>
    <x:row r="40">
      <x:c r="A40" s="163" t="str">
        <x:v>SG-21004112432</x:v>
      </x:c>
      <x:c r="B40" s="163" t="str">
        <x:v>Sadia Kabir</x:v>
      </x:c>
      <x:c r="C40" s="163" t="str">
        <x:v>Female</x:v>
      </x:c>
      <x:c r="D40" s="163" t="n">
        <x:v>34</x:v>
      </x:c>
      <x:c r="E40" s="163" t="str">
        <x:v>Gazipur</x:v>
      </x:c>
      <x:c r="F40" s="163" t="str">
        <x:v>SG-001</x:v>
      </x:c>
      <x:c r="G40" s="163" t="str">
        <x:v>Sabia Smart Devices Ltd.</x:v>
      </x:c>
      <x:c r="H40" s="163" t="str">
        <x:v>FAC-GZ</x:v>
      </x:c>
      <x:c r="I40" s="163" t="str">
        <x:v>210</x:v>
      </x:c>
      <x:c r="J40" s="163" t="str">
        <x:v>Smartwatch Production</x:v>
      </x:c>
      <x:c r="K40" s="163" t="str">
        <x:v>Production Supervisor</x:v>
      </x:c>
      <x:c r="L40" s="163" t="str">
        <x:v>G4</x:v>
      </x:c>
      <x:c r="M40" s="163" t="str">
        <x:v>Permanent</x:v>
      </x:c>
      <x:c r="N40" s="163" t="str">
        <x:v>C</x:v>
      </x:c>
      <x:c r="O40" s="167" t="n">
        <x:v>45600</x:v>
      </x:c>
      <x:c r="P40" s="167" t="n">
        <x:v>46058</x:v>
      </x:c>
      <x:c r="Q40" s="163" t="str">
        <x:v>Laid Off</x:v>
      </x:c>
      <x:c r="R40" s="163" t="str">
        <x:v>No</x:v>
      </x:c>
      <x:c r="S40" s="163" t="str">
        <x:v>Precision Assembly</x:v>
      </x:c>
      <x:c r="T40" s="163" t="str">
        <x:v>Entry</x:v>
      </x:c>
      <x:c r="U40" s="169" t="n">
        <x:v>53000</x:v>
      </x:c>
      <x:c r="V40" s="169" t="n">
        <x:v>12200</x:v>
      </x:c>
      <x:c r="W40" s="169" t="n">
        <x:v>69440</x:v>
      </x:c>
      <x:c r="X40" s="163" t="str">
        <x:v>Pre-2026</x:v>
      </x:c>
      <x:c r="Y40" s="163" t="str">
        <x:v>Yes</x:v>
      </x:c>
      <x:c r="Z40" s="163" t="n">
        <x:f>ROUND((IF(P40="",DATE(2026,12,31),P40)-O40)/30.44,0)</x:f>
        <x:v>15</x:v>
      </x:c>
      <x:c r="AA40" s="169" t="n">
        <x:f>W40*12</x:f>
        <x:v>833280</x:v>
      </x:c>
    </x:row>
    <x:row r="41">
      <x:c r="A41" s="163" t="str">
        <x:v>SG-21029082333</x:v>
      </x:c>
      <x:c r="B41" s="163" t="str">
        <x:v>Sharmeen Alam</x:v>
      </x:c>
      <x:c r="C41" s="163" t="str">
        <x:v>Female</x:v>
      </x:c>
      <x:c r="D41" s="163" t="n">
        <x:v>40</x:v>
      </x:c>
      <x:c r="E41" s="163" t="str">
        <x:v>Bogura</x:v>
      </x:c>
      <x:c r="F41" s="163" t="str">
        <x:v>SG-001</x:v>
      </x:c>
      <x:c r="G41" s="163" t="str">
        <x:v>Sabia Smart Devices Ltd.</x:v>
      </x:c>
      <x:c r="H41" s="163" t="str">
        <x:v>FAC-GZ</x:v>
      </x:c>
      <x:c r="I41" s="163" t="str">
        <x:v>210</x:v>
      </x:c>
      <x:c r="J41" s="163" t="str">
        <x:v>Smartwatch Production</x:v>
      </x:c>
      <x:c r="K41" s="163" t="str">
        <x:v>Production Supervisor</x:v>
      </x:c>
      <x:c r="L41" s="163" t="str">
        <x:v>G4</x:v>
      </x:c>
      <x:c r="M41" s="163" t="str">
        <x:v>Permanent</x:v>
      </x:c>
      <x:c r="N41" s="163" t="str">
        <x:v>B</x:v>
      </x:c>
      <x:c r="O41" s="167" t="n">
        <x:v>45167</x:v>
      </x:c>
      <x:c r="P41" s="167" t="n">
        <x:v>46081</x:v>
      </x:c>
      <x:c r="Q41" s="163" t="str">
        <x:v>Laid Off</x:v>
      </x:c>
      <x:c r="R41" s="163" t="str">
        <x:v>No</x:v>
      </x:c>
      <x:c r="S41" s="163" t="str">
        <x:v>Precision Assembly</x:v>
      </x:c>
      <x:c r="T41" s="163" t="str">
        <x:v>Entry</x:v>
      </x:c>
      <x:c r="U41" s="169" t="n">
        <x:v>57500</x:v>
      </x:c>
      <x:c r="V41" s="169" t="n">
        <x:v>14500</x:v>
      </x:c>
      <x:c r="W41" s="169" t="n">
        <x:v>76600</x:v>
      </x:c>
      <x:c r="X41" s="163" t="str">
        <x:v>Pre-2026</x:v>
      </x:c>
      <x:c r="Y41" s="163" t="str">
        <x:v>Yes</x:v>
      </x:c>
      <x:c r="Z41" s="163" t="n">
        <x:f>ROUND((IF(P41="",DATE(2026,12,31),P41)-O41)/30.44,0)</x:f>
        <x:v>30</x:v>
      </x:c>
      <x:c r="AA41" s="169" t="n">
        <x:f>W41*12</x:f>
        <x:v>919200</x:v>
      </x:c>
    </x:row>
    <x:row r="42">
      <x:c r="A42" s="163" t="str">
        <x:v>SG-21010121834</x:v>
      </x:c>
      <x:c r="B42" s="163" t="str">
        <x:v>Fahim Hossain</x:v>
      </x:c>
      <x:c r="C42" s="163" t="str">
        <x:v>Male</x:v>
      </x:c>
      <x:c r="D42" s="163" t="n">
        <x:v>27</x:v>
      </x:c>
      <x:c r="E42" s="163" t="str">
        <x:v>Sirajganj</x:v>
      </x:c>
      <x:c r="F42" s="163" t="str">
        <x:v>SG-001</x:v>
      </x:c>
      <x:c r="G42" s="163" t="str">
        <x:v>Sabia Smart Devices Ltd.</x:v>
      </x:c>
      <x:c r="H42" s="163" t="str">
        <x:v>FAC-GZ</x:v>
      </x:c>
      <x:c r="I42" s="163" t="str">
        <x:v>210</x:v>
      </x:c>
      <x:c r="J42" s="163" t="str">
        <x:v>Smartwatch Production</x:v>
      </x:c>
      <x:c r="K42" s="163" t="str">
        <x:v>Assembly Operator</x:v>
      </x:c>
      <x:c r="L42" s="163" t="str">
        <x:v>G1</x:v>
      </x:c>
      <x:c r="M42" s="163" t="str">
        <x:v>Permanent</x:v>
      </x:c>
      <x:c r="N42" s="163" t="str">
        <x:v>B</x:v>
      </x:c>
      <x:c r="O42" s="167" t="n">
        <x:v>43444</x:v>
      </x:c>
      <x:c r="P42" s="167" t="n">
        <x:v>46152</x:v>
      </x:c>
      <x:c r="Q42" s="163" t="str">
        <x:v>Exited</x:v>
      </x:c>
      <x:c r="R42" s="163" t="str">
        <x:v>No</x:v>
      </x:c>
      <x:c r="S42" s="163" t="str">
        <x:v>Precision Assembly</x:v>
      </x:c>
      <x:c r="T42" s="163" t="str">
        <x:v>Intermediate</x:v>
      </x:c>
      <x:c r="U42" s="169" t="n">
        <x:v>22000</x:v>
      </x:c>
      <x:c r="V42" s="169" t="n">
        <x:v>3300</x:v>
      </x:c>
      <x:c r="W42" s="169" t="n">
        <x:v>27060</x:v>
      </x:c>
      <x:c r="X42" s="163" t="str">
        <x:v>Pre-2026</x:v>
      </x:c>
      <x:c r="Y42" s="163" t="str">
        <x:v>Yes</x:v>
      </x:c>
      <x:c r="Z42" s="163" t="n">
        <x:f>ROUND((IF(P42="",DATE(2026,12,31),P42)-O42)/30.44,0)</x:f>
        <x:v>89</x:v>
      </x:c>
      <x:c r="AA42" s="169" t="n">
        <x:f>W42*12</x:f>
        <x:v>324720</x:v>
      </x:c>
    </x:row>
    <x:row r="43">
      <x:c r="A43" s="163" t="str">
        <x:v>SG-21014052035</x:v>
      </x:c>
      <x:c r="B43" s="163" t="str">
        <x:v>Farzana Jahan</x:v>
      </x:c>
      <x:c r="C43" s="163" t="str">
        <x:v>Female</x:v>
      </x:c>
      <x:c r="D43" s="163" t="n">
        <x:v>37</x:v>
      </x:c>
      <x:c r="E43" s="163" t="str">
        <x:v>Bogura</x:v>
      </x:c>
      <x:c r="F43" s="163" t="str">
        <x:v>SG-001</x:v>
      </x:c>
      <x:c r="G43" s="163" t="str">
        <x:v>Sabia Smart Devices Ltd.</x:v>
      </x:c>
      <x:c r="H43" s="163" t="str">
        <x:v>FAC-GZ</x:v>
      </x:c>
      <x:c r="I43" s="163" t="str">
        <x:v>210</x:v>
      </x:c>
      <x:c r="J43" s="163" t="str">
        <x:v>Smartwatch Production</x:v>
      </x:c>
      <x:c r="K43" s="163" t="str">
        <x:v>Assembly Operator</x:v>
      </x:c>
      <x:c r="L43" s="163" t="str">
        <x:v>G1</x:v>
      </x:c>
      <x:c r="M43" s="163" t="str">
        <x:v>Probation</x:v>
      </x:c>
      <x:c r="N43" s="163" t="str">
        <x:v>A</x:v>
      </x:c>
      <x:c r="O43" s="167" t="n">
        <x:v>43965</x:v>
      </x:c>
      <x:c r="P43" s="167" t="n">
        <x:v>46089</x:v>
      </x:c>
      <x:c r="Q43" s="163" t="str">
        <x:v>Laid Off</x:v>
      </x:c>
      <x:c r="R43" s="163" t="str">
        <x:v>No</x:v>
      </x:c>
      <x:c r="S43" s="163" t="str">
        <x:v>Precision Assembly</x:v>
      </x:c>
      <x:c r="T43" s="163" t="str">
        <x:v>Entry</x:v>
      </x:c>
      <x:c r="U43" s="169" t="n">
        <x:v>20500</x:v>
      </x:c>
      <x:c r="V43" s="169" t="n">
        <x:v>3200</x:v>
      </x:c>
      <x:c r="W43" s="169" t="n">
        <x:v>25340</x:v>
      </x:c>
      <x:c r="X43" s="163" t="str">
        <x:v>Pre-2026</x:v>
      </x:c>
      <x:c r="Y43" s="163" t="str">
        <x:v>Yes</x:v>
      </x:c>
      <x:c r="Z43" s="163" t="n">
        <x:f>ROUND((IF(P43="",DATE(2026,12,31),P43)-O43)/30.44,0)</x:f>
        <x:v>70</x:v>
      </x:c>
      <x:c r="AA43" s="169" t="n">
        <x:f>W43*12</x:f>
        <x:v>304080</x:v>
      </x:c>
    </x:row>
    <x:row r="44">
      <x:c r="A44" s="163" t="str">
        <x:v>SG-21021101936</x:v>
      </x:c>
      <x:c r="B44" s="163" t="str">
        <x:v>Jannat Sultana</x:v>
      </x:c>
      <x:c r="C44" s="163" t="str">
        <x:v>Female</x:v>
      </x:c>
      <x:c r="D44" s="163" t="n">
        <x:v>29</x:v>
      </x:c>
      <x:c r="E44" s="163" t="str">
        <x:v>Dhaka</x:v>
      </x:c>
      <x:c r="F44" s="163" t="str">
        <x:v>SG-001</x:v>
      </x:c>
      <x:c r="G44" s="163" t="str">
        <x:v>Sabia Smart Devices Ltd.</x:v>
      </x:c>
      <x:c r="H44" s="163" t="str">
        <x:v>FAC-GZ</x:v>
      </x:c>
      <x:c r="I44" s="163" t="str">
        <x:v>210</x:v>
      </x:c>
      <x:c r="J44" s="163" t="str">
        <x:v>Smartwatch Production</x:v>
      </x:c>
      <x:c r="K44" s="163" t="str">
        <x:v>Precision Assembly Technician</x:v>
      </x:c>
      <x:c r="L44" s="163" t="str">
        <x:v>G2</x:v>
      </x:c>
      <x:c r="M44" s="163" t="str">
        <x:v>Probation</x:v>
      </x:c>
      <x:c r="N44" s="163" t="str">
        <x:v>A</x:v>
      </x:c>
      <x:c r="O44" s="167" t="n">
        <x:v>43759</x:v>
      </x:c>
      <x:c r="P44" s="167" t="n">
        <x:v>46234</x:v>
      </x:c>
      <x:c r="Q44" s="163" t="str">
        <x:v>Exited</x:v>
      </x:c>
      <x:c r="R44" s="163" t="str">
        <x:v>Yes</x:v>
      </x:c>
      <x:c r="S44" s="163" t="str">
        <x:v>Precision Assembly</x:v>
      </x:c>
      <x:c r="T44" s="163" t="str">
        <x:v>Intermediate</x:v>
      </x:c>
      <x:c r="U44" s="169" t="n">
        <x:v>24500</x:v>
      </x:c>
      <x:c r="V44" s="169" t="n">
        <x:v>4600</x:v>
      </x:c>
      <x:c r="W44" s="169" t="n">
        <x:v>31060</x:v>
      </x:c>
      <x:c r="X44" s="163" t="str">
        <x:v>Pre-2026</x:v>
      </x:c>
      <x:c r="Y44" s="163" t="str">
        <x:v>Yes</x:v>
      </x:c>
      <x:c r="Z44" s="163" t="n">
        <x:f>ROUND((IF(P44="",DATE(2026,12,31),P44)-O44)/30.44,0)</x:f>
        <x:v>81</x:v>
      </x:c>
      <x:c r="AA44" s="169" t="n">
        <x:f>W44*12</x:f>
        <x:v>372720</x:v>
      </x:c>
    </x:row>
    <x:row r="45">
      <x:c r="A45" s="163" t="str">
        <x:v>SG-21022042437</x:v>
      </x:c>
      <x:c r="B45" s="163" t="str">
        <x:v>Tasnim Rahman</x:v>
      </x:c>
      <x:c r="C45" s="163" t="str">
        <x:v>Female</x:v>
      </x:c>
      <x:c r="D45" s="163" t="n">
        <x:v>36</x:v>
      </x:c>
      <x:c r="E45" s="163" t="str">
        <x:v>Natore</x:v>
      </x:c>
      <x:c r="F45" s="163" t="str">
        <x:v>SG-001</x:v>
      </x:c>
      <x:c r="G45" s="163" t="str">
        <x:v>Sabia Smart Devices Ltd.</x:v>
      </x:c>
      <x:c r="H45" s="163" t="str">
        <x:v>FAC-GZ</x:v>
      </x:c>
      <x:c r="I45" s="163" t="str">
        <x:v>210</x:v>
      </x:c>
      <x:c r="J45" s="163" t="str">
        <x:v>Smartwatch Production</x:v>
      </x:c>
      <x:c r="K45" s="163" t="str">
        <x:v>Production Supervisor</x:v>
      </x:c>
      <x:c r="L45" s="163" t="str">
        <x:v>G4</x:v>
      </x:c>
      <x:c r="M45" s="163" t="str">
        <x:v>Permanent</x:v>
      </x:c>
      <x:c r="N45" s="163" t="str">
        <x:v>C</x:v>
      </x:c>
      <x:c r="O45" s="167" t="n">
        <x:v>45404</x:v>
      </x:c>
      <x:c r="P45" s="167" t="str"/>
      <x:c r="Q45" s="163" t="str">
        <x:v>Active</x:v>
      </x:c>
      <x:c r="R45" s="163" t="str">
        <x:v>No</x:v>
      </x:c>
      <x:c r="S45" s="163" t="str">
        <x:v>Precision Assembly</x:v>
      </x:c>
      <x:c r="T45" s="163" t="str">
        <x:v>Intermediate</x:v>
      </x:c>
      <x:c r="U45" s="169" t="n">
        <x:v>58500</x:v>
      </x:c>
      <x:c r="V45" s="169" t="n">
        <x:v>14200</x:v>
      </x:c>
      <x:c r="W45" s="169" t="n">
        <x:v>77380</x:v>
      </x:c>
      <x:c r="X45" s="163" t="str">
        <x:v>Pre-2026</x:v>
      </x:c>
      <x:c r="Y45" s="163" t="str">
        <x:v>Yes</x:v>
      </x:c>
      <x:c r="Z45" s="163" t="n">
        <x:f>ROUND((IF(P45="",DATE(2026,12,31),P45)-O45)/30.44,0)</x:f>
        <x:v>32</x:v>
      </x:c>
      <x:c r="AA45" s="169" t="n">
        <x:f>W45*12</x:f>
        <x:v>928560</x:v>
      </x:c>
    </x:row>
    <x:row r="46">
      <x:c r="A46" s="163" t="str">
        <x:v>SG-21014122238</x:v>
      </x:c>
      <x:c r="B46" s="163" t="str">
        <x:v>Arif Kabir</x:v>
      </x:c>
      <x:c r="C46" s="163" t="str">
        <x:v>Male</x:v>
      </x:c>
      <x:c r="D46" s="163" t="n">
        <x:v>26</x:v>
      </x:c>
      <x:c r="E46" s="163" t="str">
        <x:v>Rajshahi</x:v>
      </x:c>
      <x:c r="F46" s="163" t="str">
        <x:v>SG-001</x:v>
      </x:c>
      <x:c r="G46" s="163" t="str">
        <x:v>Sabia Smart Devices Ltd.</x:v>
      </x:c>
      <x:c r="H46" s="163" t="str">
        <x:v>FAC-GZ</x:v>
      </x:c>
      <x:c r="I46" s="163" t="str">
        <x:v>210</x:v>
      </x:c>
      <x:c r="J46" s="163" t="str">
        <x:v>Smartwatch Production</x:v>
      </x:c>
      <x:c r="K46" s="163" t="str">
        <x:v>Assembly Operator</x:v>
      </x:c>
      <x:c r="L46" s="163" t="str">
        <x:v>G1</x:v>
      </x:c>
      <x:c r="M46" s="163" t="str">
        <x:v>Permanent</x:v>
      </x:c>
      <x:c r="N46" s="163" t="str">
        <x:v>C</x:v>
      </x:c>
      <x:c r="O46" s="167" t="n">
        <x:v>44909</x:v>
      </x:c>
      <x:c r="P46" s="167" t="n">
        <x:v>46080</x:v>
      </x:c>
      <x:c r="Q46" s="163" t="str">
        <x:v>Laid Off</x:v>
      </x:c>
      <x:c r="R46" s="163" t="str">
        <x:v>No</x:v>
      </x:c>
      <x:c r="S46" s="163" t="str">
        <x:v>Precision Assembly</x:v>
      </x:c>
      <x:c r="T46" s="163" t="str">
        <x:v>Entry</x:v>
      </x:c>
      <x:c r="U46" s="169" t="n">
        <x:v>20500</x:v>
      </x:c>
      <x:c r="V46" s="169" t="n">
        <x:v>4100</x:v>
      </x:c>
      <x:c r="W46" s="169" t="n">
        <x:v>26240</x:v>
      </x:c>
      <x:c r="X46" s="163" t="str">
        <x:v>Pre-2026</x:v>
      </x:c>
      <x:c r="Y46" s="163" t="str">
        <x:v>Yes</x:v>
      </x:c>
      <x:c r="Z46" s="163" t="n">
        <x:f>ROUND((IF(P46="",DATE(2026,12,31),P46)-O46)/30.44,0)</x:f>
        <x:v>38</x:v>
      </x:c>
      <x:c r="AA46" s="169" t="n">
        <x:f>W46*12</x:f>
        <x:v>314880</x:v>
      </x:c>
    </x:row>
    <x:row r="47">
      <x:c r="A47" s="163" t="str">
        <x:v>SG-21014032139</x:v>
      </x:c>
      <x:c r="B47" s="163" t="str">
        <x:v>Rumana Rahman</x:v>
      </x:c>
      <x:c r="C47" s="163" t="str">
        <x:v>Female</x:v>
      </x:c>
      <x:c r="D47" s="163" t="n">
        <x:v>24</x:v>
      </x:c>
      <x:c r="E47" s="163" t="str">
        <x:v>Natore</x:v>
      </x:c>
      <x:c r="F47" s="163" t="str">
        <x:v>SG-001</x:v>
      </x:c>
      <x:c r="G47" s="163" t="str">
        <x:v>Sabia Smart Devices Ltd.</x:v>
      </x:c>
      <x:c r="H47" s="163" t="str">
        <x:v>FAC-GZ</x:v>
      </x:c>
      <x:c r="I47" s="163" t="str">
        <x:v>210</x:v>
      </x:c>
      <x:c r="J47" s="163" t="str">
        <x:v>Smartwatch Production</x:v>
      </x:c>
      <x:c r="K47" s="163" t="str">
        <x:v>SMT Line Technician</x:v>
      </x:c>
      <x:c r="L47" s="163" t="str">
        <x:v>G2</x:v>
      </x:c>
      <x:c r="M47" s="163" t="str">
        <x:v>Permanent</x:v>
      </x:c>
      <x:c r="N47" s="163" t="str">
        <x:v>A</x:v>
      </x:c>
      <x:c r="O47" s="167" t="n">
        <x:v>44269</x:v>
      </x:c>
      <x:c r="P47" s="167" t="str"/>
      <x:c r="Q47" s="163" t="str">
        <x:v>Active</x:v>
      </x:c>
      <x:c r="R47" s="163" t="str">
        <x:v>Yes</x:v>
      </x:c>
      <x:c r="S47" s="163" t="str">
        <x:v>Precision Assembly</x:v>
      </x:c>
      <x:c r="T47" s="163" t="str">
        <x:v>Certified</x:v>
      </x:c>
      <x:c r="U47" s="169" t="n">
        <x:v>26500</x:v>
      </x:c>
      <x:c r="V47" s="169" t="n">
        <x:v>6400</x:v>
      </x:c>
      <x:c r="W47" s="169" t="n">
        <x:v>35020</x:v>
      </x:c>
      <x:c r="X47" s="163" t="str">
        <x:v>Pre-2026</x:v>
      </x:c>
      <x:c r="Y47" s="163" t="str">
        <x:v>Yes</x:v>
      </x:c>
      <x:c r="Z47" s="163" t="n">
        <x:f>ROUND((IF(P47="",DATE(2026,12,31),P47)-O47)/30.44,0)</x:f>
        <x:v>70</x:v>
      </x:c>
      <x:c r="AA47" s="169" t="n">
        <x:f>W47*12</x:f>
        <x:v>420240</x:v>
      </x:c>
    </x:row>
    <x:row r="48">
      <x:c r="A48" s="163" t="str">
        <x:v>SG-21027072040</x:v>
      </x:c>
      <x:c r="B48" s="163" t="str">
        <x:v>Shakil Hasan</x:v>
      </x:c>
      <x:c r="C48" s="163" t="str">
        <x:v>Male</x:v>
      </x:c>
      <x:c r="D48" s="163" t="n">
        <x:v>32</x:v>
      </x:c>
      <x:c r="E48" s="163" t="str">
        <x:v>Bogura</x:v>
      </x:c>
      <x:c r="F48" s="163" t="str">
        <x:v>SG-001</x:v>
      </x:c>
      <x:c r="G48" s="163" t="str">
        <x:v>Sabia Smart Devices Ltd.</x:v>
      </x:c>
      <x:c r="H48" s="163" t="str">
        <x:v>FAC-GZ</x:v>
      </x:c>
      <x:c r="I48" s="163" t="str">
        <x:v>210</x:v>
      </x:c>
      <x:c r="J48" s="163" t="str">
        <x:v>Smartwatch Production</x:v>
      </x:c>
      <x:c r="K48" s="163" t="str">
        <x:v>Production Line Leader</x:v>
      </x:c>
      <x:c r="L48" s="163" t="str">
        <x:v>G3</x:v>
      </x:c>
      <x:c r="M48" s="163" t="str">
        <x:v>Permanent</x:v>
      </x:c>
      <x:c r="N48" s="163" t="str">
        <x:v>A</x:v>
      </x:c>
      <x:c r="O48" s="167" t="n">
        <x:v>44039</x:v>
      </x:c>
      <x:c r="P48" s="167" t="n">
        <x:v>46071</x:v>
      </x:c>
      <x:c r="Q48" s="163" t="str">
        <x:v>Laid Off</x:v>
      </x:c>
      <x:c r="R48" s="163" t="str">
        <x:v>No</x:v>
      </x:c>
      <x:c r="S48" s="163" t="str">
        <x:v>Precision Assembly</x:v>
      </x:c>
      <x:c r="T48" s="163" t="str">
        <x:v>Intermediate</x:v>
      </x:c>
      <x:c r="U48" s="169" t="n">
        <x:v>35500</x:v>
      </x:c>
      <x:c r="V48" s="169" t="n">
        <x:v>4800</x:v>
      </x:c>
      <x:c r="W48" s="169" t="n">
        <x:v>43140</x:v>
      </x:c>
      <x:c r="X48" s="163" t="str">
        <x:v>Pre-2026</x:v>
      </x:c>
      <x:c r="Y48" s="163" t="str">
        <x:v>Yes</x:v>
      </x:c>
      <x:c r="Z48" s="163" t="n">
        <x:f>ROUND((IF(P48="",DATE(2026,12,31),P48)-O48)/30.44,0)</x:f>
        <x:v>67</x:v>
      </x:c>
      <x:c r="AA48" s="169" t="n">
        <x:f>W48*12</x:f>
        <x:v>517680</x:v>
      </x:c>
    </x:row>
    <x:row r="49">
      <x:c r="A49" s="163" t="str">
        <x:v>SG-21007012041</x:v>
      </x:c>
      <x:c r="B49" s="163" t="str">
        <x:v>Fahim Akter</x:v>
      </x:c>
      <x:c r="C49" s="163" t="str">
        <x:v>Male</x:v>
      </x:c>
      <x:c r="D49" s="163" t="n">
        <x:v>36</x:v>
      </x:c>
      <x:c r="E49" s="163" t="str">
        <x:v>Sirajganj</x:v>
      </x:c>
      <x:c r="F49" s="163" t="str">
        <x:v>SG-001</x:v>
      </x:c>
      <x:c r="G49" s="163" t="str">
        <x:v>Sabia Smart Devices Ltd.</x:v>
      </x:c>
      <x:c r="H49" s="163" t="str">
        <x:v>FAC-GZ</x:v>
      </x:c>
      <x:c r="I49" s="163" t="str">
        <x:v>210</x:v>
      </x:c>
      <x:c r="J49" s="163" t="str">
        <x:v>Smartwatch Production</x:v>
      </x:c>
      <x:c r="K49" s="163" t="str">
        <x:v>Production Manager</x:v>
      </x:c>
      <x:c r="L49" s="163" t="str">
        <x:v>G6</x:v>
      </x:c>
      <x:c r="M49" s="163" t="str">
        <x:v>Probation</x:v>
      </x:c>
      <x:c r="N49" s="163" t="str">
        <x:v>B</x:v>
      </x:c>
      <x:c r="O49" s="167" t="n">
        <x:v>43837</x:v>
      </x:c>
      <x:c r="P49" s="167" t="str"/>
      <x:c r="Q49" s="163" t="str">
        <x:v>Active</x:v>
      </x:c>
      <x:c r="R49" s="163" t="str">
        <x:v>No</x:v>
      </x:c>
      <x:c r="S49" s="163" t="str">
        <x:v>Precision Assembly</x:v>
      </x:c>
      <x:c r="T49" s="163" t="str">
        <x:v>Entry</x:v>
      </x:c>
      <x:c r="U49" s="169" t="n">
        <x:v>137500</x:v>
      </x:c>
      <x:c r="V49" s="169" t="n">
        <x:v>34900</x:v>
      </x:c>
      <x:c r="W49" s="169" t="n">
        <x:v>183400</x:v>
      </x:c>
      <x:c r="X49" s="163" t="str">
        <x:v>Pre-2026</x:v>
      </x:c>
      <x:c r="Y49" s="163" t="str">
        <x:v>Yes</x:v>
      </x:c>
      <x:c r="Z49" s="163" t="n">
        <x:f>ROUND((IF(P49="",DATE(2026,12,31),P49)-O49)/30.44,0)</x:f>
        <x:v>84</x:v>
      </x:c>
      <x:c r="AA49" s="169" t="n">
        <x:f>W49*12</x:f>
        <x:v>2200800</x:v>
      </x:c>
    </x:row>
    <x:row r="50">
      <x:c r="A50" s="163" t="str">
        <x:v>SG-21030102342</x:v>
      </x:c>
      <x:c r="B50" s="163" t="str">
        <x:v>Mim Rahman</x:v>
      </x:c>
      <x:c r="C50" s="163" t="str">
        <x:v>Female</x:v>
      </x:c>
      <x:c r="D50" s="163" t="n">
        <x:v>28</x:v>
      </x:c>
      <x:c r="E50" s="163" t="str">
        <x:v>Noakhali</x:v>
      </x:c>
      <x:c r="F50" s="163" t="str">
        <x:v>SG-001</x:v>
      </x:c>
      <x:c r="G50" s="163" t="str">
        <x:v>Sabia Smart Devices Ltd.</x:v>
      </x:c>
      <x:c r="H50" s="163" t="str">
        <x:v>FAC-GZ</x:v>
      </x:c>
      <x:c r="I50" s="163" t="str">
        <x:v>210</x:v>
      </x:c>
      <x:c r="J50" s="163" t="str">
        <x:v>Smartwatch Production</x:v>
      </x:c>
      <x:c r="K50" s="163" t="str">
        <x:v>SMT Line Technician</x:v>
      </x:c>
      <x:c r="L50" s="163" t="str">
        <x:v>G2</x:v>
      </x:c>
      <x:c r="M50" s="163" t="str">
        <x:v>Permanent</x:v>
      </x:c>
      <x:c r="N50" s="163" t="str">
        <x:v>B</x:v>
      </x:c>
      <x:c r="O50" s="167" t="n">
        <x:v>45229</x:v>
      </x:c>
      <x:c r="P50" s="167" t="n">
        <x:v>46066</x:v>
      </x:c>
      <x:c r="Q50" s="163" t="str">
        <x:v>Laid Off</x:v>
      </x:c>
      <x:c r="R50" s="163" t="str">
        <x:v>Yes</x:v>
      </x:c>
      <x:c r="S50" s="163" t="str">
        <x:v>Precision Assembly</x:v>
      </x:c>
      <x:c r="T50" s="163" t="str">
        <x:v>Entry</x:v>
      </x:c>
      <x:c r="U50" s="169" t="n">
        <x:v>25000</x:v>
      </x:c>
      <x:c r="V50" s="169" t="n">
        <x:v>6300</x:v>
      </x:c>
      <x:c r="W50" s="169" t="n">
        <x:v>33300</x:v>
      </x:c>
      <x:c r="X50" s="163" t="str">
        <x:v>Pre-2026</x:v>
      </x:c>
      <x:c r="Y50" s="163" t="str">
        <x:v>Yes</x:v>
      </x:c>
      <x:c r="Z50" s="163" t="n">
        <x:f>ROUND((IF(P50="",DATE(2026,12,31),P50)-O50)/30.44,0)</x:f>
        <x:v>27</x:v>
      </x:c>
      <x:c r="AA50" s="169" t="n">
        <x:f>W50*12</x:f>
        <x:v>399600</x:v>
      </x:c>
    </x:row>
    <x:row r="51">
      <x:c r="A51" s="163" t="str">
        <x:v>SG-21029042543</x:v>
      </x:c>
      <x:c r="B51" s="163" t="str">
        <x:v>Rumana Hossain</x:v>
      </x:c>
      <x:c r="C51" s="163" t="str">
        <x:v>Female</x:v>
      </x:c>
      <x:c r="D51" s="163" t="n">
        <x:v>31</x:v>
      </x:c>
      <x:c r="E51" s="163" t="str">
        <x:v>Narayanganj</x:v>
      </x:c>
      <x:c r="F51" s="163" t="str">
        <x:v>SG-001</x:v>
      </x:c>
      <x:c r="G51" s="163" t="str">
        <x:v>Sabia Smart Devices Ltd.</x:v>
      </x:c>
      <x:c r="H51" s="163" t="str">
        <x:v>FAC-GZ</x:v>
      </x:c>
      <x:c r="I51" s="163" t="str">
        <x:v>210</x:v>
      </x:c>
      <x:c r="J51" s="163" t="str">
        <x:v>Smartwatch Production</x:v>
      </x:c>
      <x:c r="K51" s="163" t="str">
        <x:v>Assembly Operator</x:v>
      </x:c>
      <x:c r="L51" s="163" t="str">
        <x:v>G1</x:v>
      </x:c>
      <x:c r="M51" s="163" t="str">
        <x:v>Permanent</x:v>
      </x:c>
      <x:c r="N51" s="163" t="str">
        <x:v>C</x:v>
      </x:c>
      <x:c r="O51" s="167" t="n">
        <x:v>45776</x:v>
      </x:c>
      <x:c r="P51" s="167" t="n">
        <x:v>46091</x:v>
      </x:c>
      <x:c r="Q51" s="163" t="str">
        <x:v>Laid Off</x:v>
      </x:c>
      <x:c r="R51" s="163" t="str">
        <x:v>No</x:v>
      </x:c>
      <x:c r="S51" s="163" t="str">
        <x:v>Precision Assembly</x:v>
      </x:c>
      <x:c r="T51" s="163" t="str">
        <x:v>Certified</x:v>
      </x:c>
      <x:c r="U51" s="169" t="n">
        <x:v>21500</x:v>
      </x:c>
      <x:c r="V51" s="169" t="n">
        <x:v>4800</x:v>
      </x:c>
      <x:c r="W51" s="169" t="n">
        <x:v>28020</x:v>
      </x:c>
      <x:c r="X51" s="163" t="str">
        <x:v>Pre-2026</x:v>
      </x:c>
      <x:c r="Y51" s="163" t="str">
        <x:v>Yes</x:v>
      </x:c>
      <x:c r="Z51" s="163" t="n">
        <x:f>ROUND((IF(P51="",DATE(2026,12,31),P51)-O51)/30.44,0)</x:f>
        <x:v>10</x:v>
      </x:c>
      <x:c r="AA51" s="169" t="n">
        <x:f>W51*12</x:f>
        <x:v>336240</x:v>
      </x:c>
    </x:row>
    <x:row r="52">
      <x:c r="A52" s="163" t="str">
        <x:v>SG-21002032244</x:v>
      </x:c>
      <x:c r="B52" s="163" t="str">
        <x:v>Rakib Chowdhury</x:v>
      </x:c>
      <x:c r="C52" s="163" t="str">
        <x:v>Male</x:v>
      </x:c>
      <x:c r="D52" s="163" t="n">
        <x:v>36</x:v>
      </x:c>
      <x:c r="E52" s="163" t="str">
        <x:v>Gazipur</x:v>
      </x:c>
      <x:c r="F52" s="163" t="str">
        <x:v>SG-001</x:v>
      </x:c>
      <x:c r="G52" s="163" t="str">
        <x:v>Sabia Smart Devices Ltd.</x:v>
      </x:c>
      <x:c r="H52" s="163" t="str">
        <x:v>FAC-GZ</x:v>
      </x:c>
      <x:c r="I52" s="163" t="str">
        <x:v>210</x:v>
      </x:c>
      <x:c r="J52" s="163" t="str">
        <x:v>Smartwatch Production</x:v>
      </x:c>
      <x:c r="K52" s="163" t="str">
        <x:v>Production Supervisor</x:v>
      </x:c>
      <x:c r="L52" s="163" t="str">
        <x:v>G4</x:v>
      </x:c>
      <x:c r="M52" s="163" t="str">
        <x:v>Permanent</x:v>
      </x:c>
      <x:c r="N52" s="163" t="str">
        <x:v>C</x:v>
      </x:c>
      <x:c r="O52" s="167" t="n">
        <x:v>44622</x:v>
      </x:c>
      <x:c r="P52" s="167" t="str"/>
      <x:c r="Q52" s="163" t="str">
        <x:v>Active</x:v>
      </x:c>
      <x:c r="R52" s="163" t="str">
        <x:v>No</x:v>
      </x:c>
      <x:c r="S52" s="163" t="str">
        <x:v>Precision Assembly</x:v>
      </x:c>
      <x:c r="T52" s="163" t="str">
        <x:v>Certified</x:v>
      </x:c>
      <x:c r="U52" s="169" t="n">
        <x:v>55500</x:v>
      </x:c>
      <x:c r="V52" s="169" t="n">
        <x:v>14000</x:v>
      </x:c>
      <x:c r="W52" s="169" t="n">
        <x:v>73940</x:v>
      </x:c>
      <x:c r="X52" s="163" t="str">
        <x:v>Pre-2026</x:v>
      </x:c>
      <x:c r="Y52" s="163" t="str">
        <x:v>Yes</x:v>
      </x:c>
      <x:c r="Z52" s="163" t="n">
        <x:f>ROUND((IF(P52="",DATE(2026,12,31),P52)-O52)/30.44,0)</x:f>
        <x:v>58</x:v>
      </x:c>
      <x:c r="AA52" s="169" t="n">
        <x:f>W52*12</x:f>
        <x:v>887280</x:v>
      </x:c>
    </x:row>
    <x:row r="53">
      <x:c r="A53" s="163" t="str">
        <x:v>SG-21007011845</x:v>
      </x:c>
      <x:c r="B53" s="163" t="str">
        <x:v>Rakib Chowdhury</x:v>
      </x:c>
      <x:c r="C53" s="163" t="str">
        <x:v>Male</x:v>
      </x:c>
      <x:c r="D53" s="163" t="n">
        <x:v>30</x:v>
      </x:c>
      <x:c r="E53" s="163" t="str">
        <x:v>Mymensingh</x:v>
      </x:c>
      <x:c r="F53" s="163" t="str">
        <x:v>SG-001</x:v>
      </x:c>
      <x:c r="G53" s="163" t="str">
        <x:v>Sabia Smart Devices Ltd.</x:v>
      </x:c>
      <x:c r="H53" s="163" t="str">
        <x:v>FAC-GZ</x:v>
      </x:c>
      <x:c r="I53" s="163" t="str">
        <x:v>210</x:v>
      </x:c>
      <x:c r="J53" s="163" t="str">
        <x:v>Smartwatch Production</x:v>
      </x:c>
      <x:c r="K53" s="163" t="str">
        <x:v>Assembly Operator</x:v>
      </x:c>
      <x:c r="L53" s="163" t="str">
        <x:v>G1</x:v>
      </x:c>
      <x:c r="M53" s="163" t="str">
        <x:v>Permanent</x:v>
      </x:c>
      <x:c r="N53" s="163" t="str">
        <x:v>C</x:v>
      </x:c>
      <x:c r="O53" s="167" t="n">
        <x:v>43107</x:v>
      </x:c>
      <x:c r="P53" s="167" t="n">
        <x:v>46078</x:v>
      </x:c>
      <x:c r="Q53" s="163" t="str">
        <x:v>Laid Off</x:v>
      </x:c>
      <x:c r="R53" s="163" t="str">
        <x:v>No</x:v>
      </x:c>
      <x:c r="S53" s="163" t="str">
        <x:v>Precision Assembly</x:v>
      </x:c>
      <x:c r="T53" s="163" t="str">
        <x:v>Entry</x:v>
      </x:c>
      <x:c r="U53" s="169" t="n">
        <x:v>20000</x:v>
      </x:c>
      <x:c r="V53" s="169" t="n">
        <x:v>2800</x:v>
      </x:c>
      <x:c r="W53" s="169" t="n">
        <x:v>24400</x:v>
      </x:c>
      <x:c r="X53" s="163" t="str">
        <x:v>Pre-2026</x:v>
      </x:c>
      <x:c r="Y53" s="163" t="str">
        <x:v>Yes</x:v>
      </x:c>
      <x:c r="Z53" s="163" t="n">
        <x:f>ROUND((IF(P53="",DATE(2026,12,31),P53)-O53)/30.44,0)</x:f>
        <x:v>98</x:v>
      </x:c>
      <x:c r="AA53" s="169" t="n">
        <x:f>W53*12</x:f>
        <x:v>292800</x:v>
      </x:c>
    </x:row>
    <x:row r="54">
      <x:c r="A54" s="163" t="str">
        <x:v>SG-22022072001</x:v>
      </x:c>
      <x:c r="B54" s="163" t="str">
        <x:v>Rumana Alam</x:v>
      </x:c>
      <x:c r="C54" s="163" t="str">
        <x:v>Female</x:v>
      </x:c>
      <x:c r="D54" s="163" t="n">
        <x:v>30</x:v>
      </x:c>
      <x:c r="E54" s="163" t="str">
        <x:v>Narayanganj</x:v>
      </x:c>
      <x:c r="F54" s="163" t="str">
        <x:v>SG-001</x:v>
      </x:c>
      <x:c r="G54" s="163" t="str">
        <x:v>Sabia Smart Devices Ltd.</x:v>
      </x:c>
      <x:c r="H54" s="163" t="str">
        <x:v>FAC-GZ</x:v>
      </x:c>
      <x:c r="I54" s="163" t="str">
        <x:v>220</x:v>
      </x:c>
      <x:c r="J54" s="163" t="str">
        <x:v>Quality Assurance</x:v>
      </x:c>
      <x:c r="K54" s="163" t="str">
        <x:v>Quality Inspector</x:v>
      </x:c>
      <x:c r="L54" s="163" t="str">
        <x:v>G2</x:v>
      </x:c>
      <x:c r="M54" s="163" t="str">
        <x:v>Permanent</x:v>
      </x:c>
      <x:c r="N54" s="163" t="str">
        <x:v>B</x:v>
      </x:c>
      <x:c r="O54" s="167" t="n">
        <x:v>44034</x:v>
      </x:c>
      <x:c r="P54" s="167" t="n">
        <x:v>46275</x:v>
      </x:c>
      <x:c r="Q54" s="163" t="str">
        <x:v>Exited</x:v>
      </x:c>
      <x:c r="R54" s="163" t="str">
        <x:v>Yes</x:v>
      </x:c>
      <x:c r="S54" s="163" t="str">
        <x:v>Quality at Source</x:v>
      </x:c>
      <x:c r="T54" s="163" t="str">
        <x:v>Intermediate</x:v>
      </x:c>
      <x:c r="U54" s="169" t="n">
        <x:v>28000</x:v>
      </x:c>
      <x:c r="V54" s="169" t="n">
        <x:v>4600</x:v>
      </x:c>
      <x:c r="W54" s="169" t="n">
        <x:v>34840</x:v>
      </x:c>
      <x:c r="X54" s="163" t="str">
        <x:v>Pre-2026</x:v>
      </x:c>
      <x:c r="Y54" s="163" t="str">
        <x:v>Yes</x:v>
      </x:c>
      <x:c r="Z54" s="163" t="n">
        <x:f>ROUND((IF(P54="",DATE(2026,12,31),P54)-O54)/30.44,0)</x:f>
        <x:v>74</x:v>
      </x:c>
      <x:c r="AA54" s="169" t="n">
        <x:f>W54*12</x:f>
        <x:v>418080</x:v>
      </x:c>
    </x:row>
    <x:row r="55">
      <x:c r="A55" s="163" t="str">
        <x:v>SG-22027072502</x:v>
      </x:c>
      <x:c r="B55" s="163" t="str">
        <x:v>Moin Uddin</x:v>
      </x:c>
      <x:c r="C55" s="163" t="str">
        <x:v>Male</x:v>
      </x:c>
      <x:c r="D55" s="163" t="n">
        <x:v>29</x:v>
      </x:c>
      <x:c r="E55" s="163" t="str">
        <x:v>Jashore</x:v>
      </x:c>
      <x:c r="F55" s="163" t="str">
        <x:v>SG-001</x:v>
      </x:c>
      <x:c r="G55" s="163" t="str">
        <x:v>Sabia Smart Devices Ltd.</x:v>
      </x:c>
      <x:c r="H55" s="163" t="str">
        <x:v>FAC-GZ</x:v>
      </x:c>
      <x:c r="I55" s="163" t="str">
        <x:v>220</x:v>
      </x:c>
      <x:c r="J55" s="163" t="str">
        <x:v>Quality Assurance</x:v>
      </x:c>
      <x:c r="K55" s="163" t="str">
        <x:v>Quality Inspector</x:v>
      </x:c>
      <x:c r="L55" s="163" t="str">
        <x:v>G2</x:v>
      </x:c>
      <x:c r="M55" s="163" t="str">
        <x:v>Permanent</x:v>
      </x:c>
      <x:c r="N55" s="163" t="str">
        <x:v>B</x:v>
      </x:c>
      <x:c r="O55" s="167" t="n">
        <x:v>45865</x:v>
      </x:c>
      <x:c r="P55" s="167" t="str"/>
      <x:c r="Q55" s="163" t="str">
        <x:v>Active</x:v>
      </x:c>
      <x:c r="R55" s="163" t="str">
        <x:v>Yes</x:v>
      </x:c>
      <x:c r="S55" s="163" t="str">
        <x:v>Quality at Source</x:v>
      </x:c>
      <x:c r="T55" s="163" t="str">
        <x:v>Certified</x:v>
      </x:c>
      <x:c r="U55" s="169" t="n">
        <x:v>30500</x:v>
      </x:c>
      <x:c r="V55" s="169" t="n">
        <x:v>6900</x:v>
      </x:c>
      <x:c r="W55" s="169" t="n">
        <x:v>39840</x:v>
      </x:c>
      <x:c r="X55" s="163" t="str">
        <x:v>Pre-2026</x:v>
      </x:c>
      <x:c r="Y55" s="163" t="str">
        <x:v>Yes</x:v>
      </x:c>
      <x:c r="Z55" s="163" t="n">
        <x:f>ROUND((IF(P55="",DATE(2026,12,31),P55)-O55)/30.44,0)</x:f>
        <x:v>17</x:v>
      </x:c>
      <x:c r="AA55" s="169" t="n">
        <x:f>W55*12</x:f>
        <x:v>478080</x:v>
      </x:c>
    </x:row>
    <x:row r="56">
      <x:c r="A56" s="163" t="str">
        <x:v>SG-22023012003</x:v>
      </x:c>
      <x:c r="B56" s="163" t="str">
        <x:v>Sadia Chowdhury</x:v>
      </x:c>
      <x:c r="C56" s="163" t="str">
        <x:v>Female</x:v>
      </x:c>
      <x:c r="D56" s="163" t="n">
        <x:v>29</x:v>
      </x:c>
      <x:c r="E56" s="163" t="str">
        <x:v>Sirajganj</x:v>
      </x:c>
      <x:c r="F56" s="163" t="str">
        <x:v>SG-001</x:v>
      </x:c>
      <x:c r="G56" s="163" t="str">
        <x:v>Sabia Smart Devices Ltd.</x:v>
      </x:c>
      <x:c r="H56" s="163" t="str">
        <x:v>FAC-GZ</x:v>
      </x:c>
      <x:c r="I56" s="163" t="str">
        <x:v>220</x:v>
      </x:c>
      <x:c r="J56" s="163" t="str">
        <x:v>Quality Assurance</x:v>
      </x:c>
      <x:c r="K56" s="163" t="str">
        <x:v>Quality Technician</x:v>
      </x:c>
      <x:c r="L56" s="163" t="str">
        <x:v>G3</x:v>
      </x:c>
      <x:c r="M56" s="163" t="str">
        <x:v>Permanent</x:v>
      </x:c>
      <x:c r="N56" s="163" t="str">
        <x:v>General</x:v>
      </x:c>
      <x:c r="O56" s="167" t="n">
        <x:v>43853</x:v>
      </x:c>
      <x:c r="P56" s="167" t="str"/>
      <x:c r="Q56" s="163" t="str">
        <x:v>Active</x:v>
      </x:c>
      <x:c r="R56" s="163" t="str">
        <x:v>Yes</x:v>
      </x:c>
      <x:c r="S56" s="163" t="str">
        <x:v>Quality at Source</x:v>
      </x:c>
      <x:c r="T56" s="163" t="str">
        <x:v>Certified</x:v>
      </x:c>
      <x:c r="U56" s="169" t="n">
        <x:v>44500</x:v>
      </x:c>
      <x:c r="V56" s="169" t="n">
        <x:v>10700</x:v>
      </x:c>
      <x:c r="W56" s="169" t="n">
        <x:v>58760</x:v>
      </x:c>
      <x:c r="X56" s="163" t="str">
        <x:v>Pre-2026</x:v>
      </x:c>
      <x:c r="Y56" s="163" t="str">
        <x:v>Yes</x:v>
      </x:c>
      <x:c r="Z56" s="163" t="n">
        <x:f>ROUND((IF(P56="",DATE(2026,12,31),P56)-O56)/30.44,0)</x:f>
        <x:v>83</x:v>
      </x:c>
      <x:c r="AA56" s="169" t="n">
        <x:f>W56*12</x:f>
        <x:v>705120</x:v>
      </x:c>
    </x:row>
    <x:row r="57">
      <x:c r="A57" s="163" t="str">
        <x:v>SG-22026012504</x:v>
      </x:c>
      <x:c r="B57" s="163" t="str">
        <x:v>Tanvir Karim</x:v>
      </x:c>
      <x:c r="C57" s="163" t="str">
        <x:v>Male</x:v>
      </x:c>
      <x:c r="D57" s="163" t="n">
        <x:v>28</x:v>
      </x:c>
      <x:c r="E57" s="163" t="str">
        <x:v>Noakhali</x:v>
      </x:c>
      <x:c r="F57" s="163" t="str">
        <x:v>SG-001</x:v>
      </x:c>
      <x:c r="G57" s="163" t="str">
        <x:v>Sabia Smart Devices Ltd.</x:v>
      </x:c>
      <x:c r="H57" s="163" t="str">
        <x:v>FAC-GZ</x:v>
      </x:c>
      <x:c r="I57" s="163" t="str">
        <x:v>220</x:v>
      </x:c>
      <x:c r="J57" s="163" t="str">
        <x:v>Quality Assurance</x:v>
      </x:c>
      <x:c r="K57" s="163" t="str">
        <x:v>Process Quality Engineer</x:v>
      </x:c>
      <x:c r="L57" s="163" t="str">
        <x:v>G4</x:v>
      </x:c>
      <x:c r="M57" s="163" t="str">
        <x:v>Permanent</x:v>
      </x:c>
      <x:c r="N57" s="163" t="str">
        <x:v>A</x:v>
      </x:c>
      <x:c r="O57" s="167" t="n">
        <x:v>45683</x:v>
      </x:c>
      <x:c r="P57" s="167" t="str"/>
      <x:c r="Q57" s="163" t="str">
        <x:v>Active</x:v>
      </x:c>
      <x:c r="R57" s="163" t="str">
        <x:v>Yes</x:v>
      </x:c>
      <x:c r="S57" s="163" t="str">
        <x:v>Quality at Source</x:v>
      </x:c>
      <x:c r="T57" s="163" t="str">
        <x:v>Intermediate</x:v>
      </x:c>
      <x:c r="U57" s="169" t="n">
        <x:v>65000</x:v>
      </x:c>
      <x:c r="V57" s="169" t="n">
        <x:v>14600</x:v>
      </x:c>
      <x:c r="W57" s="169" t="n">
        <x:v>84800</x:v>
      </x:c>
      <x:c r="X57" s="163" t="str">
        <x:v>Pre-2026</x:v>
      </x:c>
      <x:c r="Y57" s="163" t="str">
        <x:v>Yes</x:v>
      </x:c>
      <x:c r="Z57" s="163" t="n">
        <x:f>ROUND((IF(P57="",DATE(2026,12,31),P57)-O57)/30.44,0)</x:f>
        <x:v>23</x:v>
      </x:c>
      <x:c r="AA57" s="169" t="n">
        <x:f>W57*12</x:f>
        <x:v>1017600</x:v>
      </x:c>
    </x:row>
    <x:row r="58">
      <x:c r="A58" s="163" t="str">
        <x:v>SG-22008062305</x:v>
      </x:c>
      <x:c r="B58" s="163" t="str">
        <x:v>Shuvo Uddin</x:v>
      </x:c>
      <x:c r="C58" s="163" t="str">
        <x:v>Male</x:v>
      </x:c>
      <x:c r="D58" s="163" t="n">
        <x:v>41</x:v>
      </x:c>
      <x:c r="E58" s="163" t="str">
        <x:v>Tangail</x:v>
      </x:c>
      <x:c r="F58" s="163" t="str">
        <x:v>SG-001</x:v>
      </x:c>
      <x:c r="G58" s="163" t="str">
        <x:v>Sabia Smart Devices Ltd.</x:v>
      </x:c>
      <x:c r="H58" s="163" t="str">
        <x:v>FAC-GZ</x:v>
      </x:c>
      <x:c r="I58" s="163" t="str">
        <x:v>220</x:v>
      </x:c>
      <x:c r="J58" s="163" t="str">
        <x:v>Quality Assurance</x:v>
      </x:c>
      <x:c r="K58" s="163" t="str">
        <x:v>QA Supervisor</x:v>
      </x:c>
      <x:c r="L58" s="163" t="str">
        <x:v>G4</x:v>
      </x:c>
      <x:c r="M58" s="163" t="str">
        <x:v>Permanent</x:v>
      </x:c>
      <x:c r="N58" s="163" t="str">
        <x:v>General</x:v>
      </x:c>
      <x:c r="O58" s="167" t="n">
        <x:v>45085</x:v>
      </x:c>
      <x:c r="P58" s="167" t="str"/>
      <x:c r="Q58" s="163" t="str">
        <x:v>Active</x:v>
      </x:c>
      <x:c r="R58" s="163" t="str">
        <x:v>Yes</x:v>
      </x:c>
      <x:c r="S58" s="163" t="str">
        <x:v>Quality at Source</x:v>
      </x:c>
      <x:c r="T58" s="163" t="str">
        <x:v>Certified</x:v>
      </x:c>
      <x:c r="U58" s="169" t="n">
        <x:v>46500</x:v>
      </x:c>
      <x:c r="V58" s="169" t="n">
        <x:v>6600</x:v>
      </x:c>
      <x:c r="W58" s="169" t="n">
        <x:v>56820</x:v>
      </x:c>
      <x:c r="X58" s="163" t="str">
        <x:v>Pre-2026</x:v>
      </x:c>
      <x:c r="Y58" s="163" t="str">
        <x:v>Yes</x:v>
      </x:c>
      <x:c r="Z58" s="163" t="n">
        <x:f>ROUND((IF(P58="",DATE(2026,12,31),P58)-O58)/30.44,0)</x:f>
        <x:v>43</x:v>
      </x:c>
      <x:c r="AA58" s="169" t="n">
        <x:f>W58*12</x:f>
        <x:v>681840</x:v>
      </x:c>
    </x:row>
    <x:row r="59">
      <x:c r="A59" s="163" t="str">
        <x:v>SG-22008082406</x:v>
      </x:c>
      <x:c r="B59" s="163" t="str">
        <x:v>Shahriar Uddin</x:v>
      </x:c>
      <x:c r="C59" s="163" t="str">
        <x:v>Male</x:v>
      </x:c>
      <x:c r="D59" s="163" t="n">
        <x:v>25</x:v>
      </x:c>
      <x:c r="E59" s="163" t="str">
        <x:v>Bogura</x:v>
      </x:c>
      <x:c r="F59" s="163" t="str">
        <x:v>SG-001</x:v>
      </x:c>
      <x:c r="G59" s="163" t="str">
        <x:v>Sabia Smart Devices Ltd.</x:v>
      </x:c>
      <x:c r="H59" s="163" t="str">
        <x:v>FAC-GZ</x:v>
      </x:c>
      <x:c r="I59" s="163" t="str">
        <x:v>220</x:v>
      </x:c>
      <x:c r="J59" s="163" t="str">
        <x:v>Quality Assurance</x:v>
      </x:c>
      <x:c r="K59" s="163" t="str">
        <x:v>Quality Inspector</x:v>
      </x:c>
      <x:c r="L59" s="163" t="str">
        <x:v>G2</x:v>
      </x:c>
      <x:c r="M59" s="163" t="str">
        <x:v>Permanent</x:v>
      </x:c>
      <x:c r="N59" s="163" t="str">
        <x:v>General</x:v>
      </x:c>
      <x:c r="O59" s="167" t="n">
        <x:v>45512</x:v>
      </x:c>
      <x:c r="P59" s="167" t="n">
        <x:v>46087</x:v>
      </x:c>
      <x:c r="Q59" s="163" t="str">
        <x:v>Laid Off</x:v>
      </x:c>
      <x:c r="R59" s="163" t="str">
        <x:v>Yes</x:v>
      </x:c>
      <x:c r="S59" s="163" t="str">
        <x:v>Quality at Source</x:v>
      </x:c>
      <x:c r="T59" s="163" t="str">
        <x:v>Advanced</x:v>
      </x:c>
      <x:c r="U59" s="169" t="n">
        <x:v>23000</x:v>
      </x:c>
      <x:c r="V59" s="169" t="n">
        <x:v>5600</x:v>
      </x:c>
      <x:c r="W59" s="169" t="n">
        <x:v>30440</x:v>
      </x:c>
      <x:c r="X59" s="163" t="str">
        <x:v>Pre-2026</x:v>
      </x:c>
      <x:c r="Y59" s="163" t="str">
        <x:v>Yes</x:v>
      </x:c>
      <x:c r="Z59" s="163" t="n">
        <x:f>ROUND((IF(P59="",DATE(2026,12,31),P59)-O59)/30.44,0)</x:f>
        <x:v>19</x:v>
      </x:c>
      <x:c r="AA59" s="169" t="n">
        <x:f>W59*12</x:f>
        <x:v>365280</x:v>
      </x:c>
    </x:row>
    <x:row r="60">
      <x:c r="A60" s="163" t="str">
        <x:v>SG-22027062107</x:v>
      </x:c>
      <x:c r="B60" s="163" t="str">
        <x:v>Riyad Jahan</x:v>
      </x:c>
      <x:c r="C60" s="163" t="str">
        <x:v>Male</x:v>
      </x:c>
      <x:c r="D60" s="163" t="n">
        <x:v>31</x:v>
      </x:c>
      <x:c r="E60" s="163" t="str">
        <x:v>Dhaka</x:v>
      </x:c>
      <x:c r="F60" s="163" t="str">
        <x:v>SG-001</x:v>
      </x:c>
      <x:c r="G60" s="163" t="str">
        <x:v>Sabia Smart Devices Ltd.</x:v>
      </x:c>
      <x:c r="H60" s="163" t="str">
        <x:v>FAC-GZ</x:v>
      </x:c>
      <x:c r="I60" s="163" t="str">
        <x:v>220</x:v>
      </x:c>
      <x:c r="J60" s="163" t="str">
        <x:v>Quality Assurance</x:v>
      </x:c>
      <x:c r="K60" s="163" t="str">
        <x:v>Process Quality Engineer</x:v>
      </x:c>
      <x:c r="L60" s="163" t="str">
        <x:v>G4</x:v>
      </x:c>
      <x:c r="M60" s="163" t="str">
        <x:v>Permanent</x:v>
      </x:c>
      <x:c r="N60" s="163" t="str">
        <x:v>B</x:v>
      </x:c>
      <x:c r="O60" s="167" t="n">
        <x:v>44374</x:v>
      </x:c>
      <x:c r="P60" s="167" t="str"/>
      <x:c r="Q60" s="163" t="str">
        <x:v>Active</x:v>
      </x:c>
      <x:c r="R60" s="163" t="str">
        <x:v>Yes</x:v>
      </x:c>
      <x:c r="S60" s="163" t="str">
        <x:v>Quality at Source</x:v>
      </x:c>
      <x:c r="T60" s="163" t="str">
        <x:v>Entry</x:v>
      </x:c>
      <x:c r="U60" s="169" t="n">
        <x:v>60500</x:v>
      </x:c>
      <x:c r="V60" s="169" t="n">
        <x:v>7900</x:v>
      </x:c>
      <x:c r="W60" s="169" t="n">
        <x:v>73240</x:v>
      </x:c>
      <x:c r="X60" s="163" t="str">
        <x:v>Pre-2026</x:v>
      </x:c>
      <x:c r="Y60" s="163" t="str">
        <x:v>Yes</x:v>
      </x:c>
      <x:c r="Z60" s="163" t="n">
        <x:f>ROUND((IF(P60="",DATE(2026,12,31),P60)-O60)/30.44,0)</x:f>
        <x:v>66</x:v>
      </x:c>
      <x:c r="AA60" s="169" t="n">
        <x:f>W60*12</x:f>
        <x:v>878880</x:v>
      </x:c>
    </x:row>
    <x:row r="61">
      <x:c r="A61" s="163" t="str">
        <x:v>SG-22004012208</x:v>
      </x:c>
      <x:c r="B61" s="163" t="str">
        <x:v>Jannat Sultana</x:v>
      </x:c>
      <x:c r="C61" s="163" t="str">
        <x:v>Female</x:v>
      </x:c>
      <x:c r="D61" s="163" t="n">
        <x:v>36</x:v>
      </x:c>
      <x:c r="E61" s="163" t="str">
        <x:v>Natore</x:v>
      </x:c>
      <x:c r="F61" s="163" t="str">
        <x:v>SG-001</x:v>
      </x:c>
      <x:c r="G61" s="163" t="str">
        <x:v>Sabia Smart Devices Ltd.</x:v>
      </x:c>
      <x:c r="H61" s="163" t="str">
        <x:v>FAC-GZ</x:v>
      </x:c>
      <x:c r="I61" s="163" t="str">
        <x:v>220</x:v>
      </x:c>
      <x:c r="J61" s="163" t="str">
        <x:v>Quality Assurance</x:v>
      </x:c>
      <x:c r="K61" s="163" t="str">
        <x:v>QA Supervisor</x:v>
      </x:c>
      <x:c r="L61" s="163" t="str">
        <x:v>G4</x:v>
      </x:c>
      <x:c r="M61" s="163" t="str">
        <x:v>Permanent</x:v>
      </x:c>
      <x:c r="N61" s="163" t="str">
        <x:v>C</x:v>
      </x:c>
      <x:c r="O61" s="167" t="n">
        <x:v>44565</x:v>
      </x:c>
      <x:c r="P61" s="167" t="str"/>
      <x:c r="Q61" s="163" t="str">
        <x:v>Active</x:v>
      </x:c>
      <x:c r="R61" s="163" t="str">
        <x:v>Yes</x:v>
      </x:c>
      <x:c r="S61" s="163" t="str">
        <x:v>Quality at Source</x:v>
      </x:c>
      <x:c r="T61" s="163" t="str">
        <x:v>Certified</x:v>
      </x:c>
      <x:c r="U61" s="169" t="n">
        <x:v>49500</x:v>
      </x:c>
      <x:c r="V61" s="169" t="n">
        <x:v>9000</x:v>
      </x:c>
      <x:c r="W61" s="169" t="n">
        <x:v>62460</x:v>
      </x:c>
      <x:c r="X61" s="163" t="str">
        <x:v>Pre-2026</x:v>
      </x:c>
      <x:c r="Y61" s="163" t="str">
        <x:v>Yes</x:v>
      </x:c>
      <x:c r="Z61" s="163" t="n">
        <x:f>ROUND((IF(P61="",DATE(2026,12,31),P61)-O61)/30.44,0)</x:f>
        <x:v>60</x:v>
      </x:c>
      <x:c r="AA61" s="169" t="n">
        <x:f>W61*12</x:f>
        <x:v>749520</x:v>
      </x:c>
    </x:row>
    <x:row r="62">
      <x:c r="A62" s="163" t="str">
        <x:v>SG-22001072309</x:v>
      </x:c>
      <x:c r="B62" s="163" t="str">
        <x:v>Tanjila Rahman</x:v>
      </x:c>
      <x:c r="C62" s="163" t="str">
        <x:v>Female</x:v>
      </x:c>
      <x:c r="D62" s="163" t="n">
        <x:v>21</x:v>
      </x:c>
      <x:c r="E62" s="163" t="str">
        <x:v>Rajshahi</x:v>
      </x:c>
      <x:c r="F62" s="163" t="str">
        <x:v>SG-001</x:v>
      </x:c>
      <x:c r="G62" s="163" t="str">
        <x:v>Sabia Smart Devices Ltd.</x:v>
      </x:c>
      <x:c r="H62" s="163" t="str">
        <x:v>FAC-GZ</x:v>
      </x:c>
      <x:c r="I62" s="163" t="str">
        <x:v>220</x:v>
      </x:c>
      <x:c r="J62" s="163" t="str">
        <x:v>Quality Assurance</x:v>
      </x:c>
      <x:c r="K62" s="163" t="str">
        <x:v>Quality Inspector</x:v>
      </x:c>
      <x:c r="L62" s="163" t="str">
        <x:v>G2</x:v>
      </x:c>
      <x:c r="M62" s="163" t="str">
        <x:v>Permanent</x:v>
      </x:c>
      <x:c r="N62" s="163" t="str">
        <x:v>A</x:v>
      </x:c>
      <x:c r="O62" s="167" t="n">
        <x:v>45108</x:v>
      </x:c>
      <x:c r="P62" s="167" t="str"/>
      <x:c r="Q62" s="163" t="str">
        <x:v>Active</x:v>
      </x:c>
      <x:c r="R62" s="163" t="str">
        <x:v>Yes</x:v>
      </x:c>
      <x:c r="S62" s="163" t="str">
        <x:v>Quality at Source</x:v>
      </x:c>
      <x:c r="T62" s="163" t="str">
        <x:v>Intermediate</x:v>
      </x:c>
      <x:c r="U62" s="169" t="n">
        <x:v>23500</x:v>
      </x:c>
      <x:c r="V62" s="169" t="n">
        <x:v>5700</x:v>
      </x:c>
      <x:c r="W62" s="169" t="n">
        <x:v>31080</x:v>
      </x:c>
      <x:c r="X62" s="163" t="str">
        <x:v>Pre-2026</x:v>
      </x:c>
      <x:c r="Y62" s="163" t="str">
        <x:v>Yes</x:v>
      </x:c>
      <x:c r="Z62" s="163" t="n">
        <x:f>ROUND((IF(P62="",DATE(2026,12,31),P62)-O62)/30.44,0)</x:f>
        <x:v>42</x:v>
      </x:c>
      <x:c r="AA62" s="169" t="n">
        <x:f>W62*12</x:f>
        <x:v>372960</x:v>
      </x:c>
    </x:row>
    <x:row r="63">
      <x:c r="A63" s="163" t="str">
        <x:v>SG-22014022110</x:v>
      </x:c>
      <x:c r="B63" s="163" t="str">
        <x:v>Rashed Sultana</x:v>
      </x:c>
      <x:c r="C63" s="163" t="str">
        <x:v>Male</x:v>
      </x:c>
      <x:c r="D63" s="163" t="n">
        <x:v>30</x:v>
      </x:c>
      <x:c r="E63" s="163" t="str">
        <x:v>Kushtia</x:v>
      </x:c>
      <x:c r="F63" s="163" t="str">
        <x:v>SG-001</x:v>
      </x:c>
      <x:c r="G63" s="163" t="str">
        <x:v>Sabia Smart Devices Ltd.</x:v>
      </x:c>
      <x:c r="H63" s="163" t="str">
        <x:v>FAC-GZ</x:v>
      </x:c>
      <x:c r="I63" s="163" t="str">
        <x:v>220</x:v>
      </x:c>
      <x:c r="J63" s="163" t="str">
        <x:v>Quality Assurance</x:v>
      </x:c>
      <x:c r="K63" s="163" t="str">
        <x:v>Quality Technician</x:v>
      </x:c>
      <x:c r="L63" s="163" t="str">
        <x:v>G3</x:v>
      </x:c>
      <x:c r="M63" s="163" t="str">
        <x:v>Permanent</x:v>
      </x:c>
      <x:c r="N63" s="163" t="str">
        <x:v>A</x:v>
      </x:c>
      <x:c r="O63" s="167" t="n">
        <x:v>44241</x:v>
      </x:c>
      <x:c r="P63" s="167" t="str"/>
      <x:c r="Q63" s="163" t="str">
        <x:v>Active</x:v>
      </x:c>
      <x:c r="R63" s="163" t="str">
        <x:v>Yes</x:v>
      </x:c>
      <x:c r="S63" s="163" t="str">
        <x:v>Quality at Source</x:v>
      </x:c>
      <x:c r="T63" s="163" t="str">
        <x:v>Intermediate</x:v>
      </x:c>
      <x:c r="U63" s="169" t="n">
        <x:v>33000</x:v>
      </x:c>
      <x:c r="V63" s="169" t="n">
        <x:v>6700</x:v>
      </x:c>
      <x:c r="W63" s="169" t="n">
        <x:v>42340</x:v>
      </x:c>
      <x:c r="X63" s="163" t="str">
        <x:v>Pre-2026</x:v>
      </x:c>
      <x:c r="Y63" s="163" t="str">
        <x:v>Yes</x:v>
      </x:c>
      <x:c r="Z63" s="163" t="n">
        <x:f>ROUND((IF(P63="",DATE(2026,12,31),P63)-O63)/30.44,0)</x:f>
        <x:v>70</x:v>
      </x:c>
      <x:c r="AA63" s="169" t="n">
        <x:f>W63*12</x:f>
        <x:v>508080</x:v>
      </x:c>
    </x:row>
    <x:row r="64">
      <x:c r="A64" s="163" t="str">
        <x:v>SG-23013052101</x:v>
      </x:c>
      <x:c r="B64" s="163" t="str">
        <x:v>Nayeem Ahmed</x:v>
      </x:c>
      <x:c r="C64" s="163" t="str">
        <x:v>Male</x:v>
      </x:c>
      <x:c r="D64" s="163" t="n">
        <x:v>35</x:v>
      </x:c>
      <x:c r="E64" s="163" t="str">
        <x:v>Rajshahi</x:v>
      </x:c>
      <x:c r="F64" s="163" t="str">
        <x:v>SG-001</x:v>
      </x:c>
      <x:c r="G64" s="163" t="str">
        <x:v>Sabia Smart Devices Ltd.</x:v>
      </x:c>
      <x:c r="H64" s="163" t="str">
        <x:v>FAC-GZ</x:v>
      </x:c>
      <x:c r="I64" s="163" t="str">
        <x:v>230</x:v>
      </x:c>
      <x:c r="J64" s="163" t="str">
        <x:v>Engineering and Maintenance</x:v>
      </x:c>
      <x:c r="K64" s="163" t="str">
        <x:v>Maintenance Engineer</x:v>
      </x:c>
      <x:c r="L64" s="163" t="str">
        <x:v>G4</x:v>
      </x:c>
      <x:c r="M64" s="163" t="str">
        <x:v>Permanent</x:v>
      </x:c>
      <x:c r="N64" s="163" t="str">
        <x:v>A</x:v>
      </x:c>
      <x:c r="O64" s="167" t="n">
        <x:v>44329</x:v>
      </x:c>
      <x:c r="P64" s="167" t="str"/>
      <x:c r="Q64" s="163" t="str">
        <x:v>Active</x:v>
      </x:c>
      <x:c r="R64" s="163" t="str">
        <x:v>Yes</x:v>
      </x:c>
      <x:c r="S64" s="163" t="str">
        <x:v>Automation and Maintenance</x:v>
      </x:c>
      <x:c r="T64" s="163" t="str">
        <x:v>Intermediate</x:v>
      </x:c>
      <x:c r="U64" s="169" t="n">
        <x:v>48000</x:v>
      </x:c>
      <x:c r="V64" s="169" t="n">
        <x:v>6200</x:v>
      </x:c>
      <x:c r="W64" s="169" t="n">
        <x:v>58040</x:v>
      </x:c>
      <x:c r="X64" s="163" t="str">
        <x:v>Pre-2026</x:v>
      </x:c>
      <x:c r="Y64" s="163" t="str">
        <x:v>Yes</x:v>
      </x:c>
      <x:c r="Z64" s="163" t="n">
        <x:f>ROUND((IF(P64="",DATE(2026,12,31),P64)-O64)/30.44,0)</x:f>
        <x:v>68</x:v>
      </x:c>
      <x:c r="AA64" s="169" t="n">
        <x:f>W64*12</x:f>
        <x:v>696480</x:v>
      </x:c>
    </x:row>
    <x:row r="65">
      <x:c r="A65" s="163" t="str">
        <x:v>SG-23025082102</x:v>
      </x:c>
      <x:c r="B65" s="163" t="str">
        <x:v>Nayeem Karim</x:v>
      </x:c>
      <x:c r="C65" s="163" t="str">
        <x:v>Male</x:v>
      </x:c>
      <x:c r="D65" s="163" t="n">
        <x:v>28</x:v>
      </x:c>
      <x:c r="E65" s="163" t="str">
        <x:v>Rangpur</x:v>
      </x:c>
      <x:c r="F65" s="163" t="str">
        <x:v>SG-001</x:v>
      </x:c>
      <x:c r="G65" s="163" t="str">
        <x:v>Sabia Smart Devices Ltd.</x:v>
      </x:c>
      <x:c r="H65" s="163" t="str">
        <x:v>FAC-GZ</x:v>
      </x:c>
      <x:c r="I65" s="163" t="str">
        <x:v>230</x:v>
      </x:c>
      <x:c r="J65" s="163" t="str">
        <x:v>Engineering and Maintenance</x:v>
      </x:c>
      <x:c r="K65" s="163" t="str">
        <x:v>Industrial Engineer</x:v>
      </x:c>
      <x:c r="L65" s="163" t="str">
        <x:v>G4</x:v>
      </x:c>
      <x:c r="M65" s="163" t="str">
        <x:v>Permanent</x:v>
      </x:c>
      <x:c r="N65" s="163" t="str">
        <x:v>General</x:v>
      </x:c>
      <x:c r="O65" s="167" t="n">
        <x:v>44433</x:v>
      </x:c>
      <x:c r="P65" s="167" t="str"/>
      <x:c r="Q65" s="163" t="str">
        <x:v>Active</x:v>
      </x:c>
      <x:c r="R65" s="163" t="str">
        <x:v>Yes</x:v>
      </x:c>
      <x:c r="S65" s="163" t="str">
        <x:v>Automation and Maintenance</x:v>
      </x:c>
      <x:c r="T65" s="163" t="str">
        <x:v>Intermediate</x:v>
      </x:c>
      <x:c r="U65" s="169" t="n">
        <x:v>50000</x:v>
      </x:c>
      <x:c r="V65" s="169" t="n">
        <x:v>8000</x:v>
      </x:c>
      <x:c r="W65" s="169" t="n">
        <x:v>62000</x:v>
      </x:c>
      <x:c r="X65" s="163" t="str">
        <x:v>Pre-2026</x:v>
      </x:c>
      <x:c r="Y65" s="163" t="str">
        <x:v>Yes</x:v>
      </x:c>
      <x:c r="Z65" s="163" t="n">
        <x:f>ROUND((IF(P65="",DATE(2026,12,31),P65)-O65)/30.44,0)</x:f>
        <x:v>64</x:v>
      </x:c>
      <x:c r="AA65" s="169" t="n">
        <x:f>W65*12</x:f>
        <x:v>744000</x:v>
      </x:c>
    </x:row>
    <x:row r="66">
      <x:c r="A66" s="163" t="str">
        <x:v>SG-23026031803</x:v>
      </x:c>
      <x:c r="B66" s="163" t="str">
        <x:v>Jubayer Akter</x:v>
      </x:c>
      <x:c r="C66" s="163" t="str">
        <x:v>Male</x:v>
      </x:c>
      <x:c r="D66" s="163" t="n">
        <x:v>31</x:v>
      </x:c>
      <x:c r="E66" s="163" t="str">
        <x:v>Brahmanbaria</x:v>
      </x:c>
      <x:c r="F66" s="163" t="str">
        <x:v>SG-001</x:v>
      </x:c>
      <x:c r="G66" s="163" t="str">
        <x:v>Sabia Smart Devices Ltd.</x:v>
      </x:c>
      <x:c r="H66" s="163" t="str">
        <x:v>FAC-GZ</x:v>
      </x:c>
      <x:c r="I66" s="163" t="str">
        <x:v>230</x:v>
      </x:c>
      <x:c r="J66" s="163" t="str">
        <x:v>Engineering and Maintenance</x:v>
      </x:c>
      <x:c r="K66" s="163" t="str">
        <x:v>Automation Technician</x:v>
      </x:c>
      <x:c r="L66" s="163" t="str">
        <x:v>G3</x:v>
      </x:c>
      <x:c r="M66" s="163" t="str">
        <x:v>Permanent</x:v>
      </x:c>
      <x:c r="N66" s="163" t="str">
        <x:v>C</x:v>
      </x:c>
      <x:c r="O66" s="167" t="n">
        <x:v>43185</x:v>
      </x:c>
      <x:c r="P66" s="167" t="n">
        <x:v>46142</x:v>
      </x:c>
      <x:c r="Q66" s="163" t="str">
        <x:v>Exited</x:v>
      </x:c>
      <x:c r="R66" s="163" t="str">
        <x:v>Yes</x:v>
      </x:c>
      <x:c r="S66" s="163" t="str">
        <x:v>Automation and Maintenance</x:v>
      </x:c>
      <x:c r="T66" s="163" t="str">
        <x:v>Entry</x:v>
      </x:c>
      <x:c r="U66" s="169" t="n">
        <x:v>44500</x:v>
      </x:c>
      <x:c r="V66" s="169" t="n">
        <x:v>7200</x:v>
      </x:c>
      <x:c r="W66" s="169" t="n">
        <x:v>55260</x:v>
      </x:c>
      <x:c r="X66" s="163" t="str">
        <x:v>Pre-2026</x:v>
      </x:c>
      <x:c r="Y66" s="163" t="str">
        <x:v>Yes</x:v>
      </x:c>
      <x:c r="Z66" s="163" t="n">
        <x:f>ROUND((IF(P66="",DATE(2026,12,31),P66)-O66)/30.44,0)</x:f>
        <x:v>97</x:v>
      </x:c>
      <x:c r="AA66" s="169" t="n">
        <x:f>W66*12</x:f>
        <x:v>663120</x:v>
      </x:c>
    </x:row>
    <x:row r="67">
      <x:c r="A67" s="163" t="str">
        <x:v>SG-23025112404</x:v>
      </x:c>
      <x:c r="B67" s="163" t="str">
        <x:v>Mim Akter</x:v>
      </x:c>
      <x:c r="C67" s="163" t="str">
        <x:v>Female</x:v>
      </x:c>
      <x:c r="D67" s="163" t="n">
        <x:v>21</x:v>
      </x:c>
      <x:c r="E67" s="163" t="str">
        <x:v>Rajshahi</x:v>
      </x:c>
      <x:c r="F67" s="163" t="str">
        <x:v>SG-001</x:v>
      </x:c>
      <x:c r="G67" s="163" t="str">
        <x:v>Sabia Smart Devices Ltd.</x:v>
      </x:c>
      <x:c r="H67" s="163" t="str">
        <x:v>FAC-GZ</x:v>
      </x:c>
      <x:c r="I67" s="163" t="str">
        <x:v>230</x:v>
      </x:c>
      <x:c r="J67" s="163" t="str">
        <x:v>Engineering and Maintenance</x:v>
      </x:c>
      <x:c r="K67" s="163" t="str">
        <x:v>Maintenance Technician</x:v>
      </x:c>
      <x:c r="L67" s="163" t="str">
        <x:v>G2</x:v>
      </x:c>
      <x:c r="M67" s="163" t="str">
        <x:v>Permanent</x:v>
      </x:c>
      <x:c r="N67" s="163" t="str">
        <x:v>B</x:v>
      </x:c>
      <x:c r="O67" s="167" t="n">
        <x:v>45621</x:v>
      </x:c>
      <x:c r="P67" s="167" t="str"/>
      <x:c r="Q67" s="163" t="str">
        <x:v>Active</x:v>
      </x:c>
      <x:c r="R67" s="163" t="str">
        <x:v>Yes</x:v>
      </x:c>
      <x:c r="S67" s="163" t="str">
        <x:v>Automation and Maintenance</x:v>
      </x:c>
      <x:c r="T67" s="163" t="str">
        <x:v>Certified</x:v>
      </x:c>
      <x:c r="U67" s="169" t="n">
        <x:v>27000</x:v>
      </x:c>
      <x:c r="V67" s="169" t="n">
        <x:v>4400</x:v>
      </x:c>
      <x:c r="W67" s="169" t="n">
        <x:v>33560</x:v>
      </x:c>
      <x:c r="X67" s="163" t="str">
        <x:v>Pre-2026</x:v>
      </x:c>
      <x:c r="Y67" s="163" t="str">
        <x:v>Yes</x:v>
      </x:c>
      <x:c r="Z67" s="163" t="n">
        <x:f>ROUND((IF(P67="",DATE(2026,12,31),P67)-O67)/30.44,0)</x:f>
        <x:v>25</x:v>
      </x:c>
      <x:c r="AA67" s="169" t="n">
        <x:f>W67*12</x:f>
        <x:v>402720</x:v>
      </x:c>
    </x:row>
    <x:row r="68">
      <x:c r="A68" s="163" t="str">
        <x:v>SG-23005062505</x:v>
      </x:c>
      <x:c r="B68" s="163" t="str">
        <x:v>Tamim Kabir</x:v>
      </x:c>
      <x:c r="C68" s="163" t="str">
        <x:v>Male</x:v>
      </x:c>
      <x:c r="D68" s="163" t="n">
        <x:v>35</x:v>
      </x:c>
      <x:c r="E68" s="163" t="str">
        <x:v>Dhaka</x:v>
      </x:c>
      <x:c r="F68" s="163" t="str">
        <x:v>SG-001</x:v>
      </x:c>
      <x:c r="G68" s="163" t="str">
        <x:v>Sabia Smart Devices Ltd.</x:v>
      </x:c>
      <x:c r="H68" s="163" t="str">
        <x:v>FAC-GZ</x:v>
      </x:c>
      <x:c r="I68" s="163" t="str">
        <x:v>230</x:v>
      </x:c>
      <x:c r="J68" s="163" t="str">
        <x:v>Engineering and Maintenance</x:v>
      </x:c>
      <x:c r="K68" s="163" t="str">
        <x:v>Industrial Engineer</x:v>
      </x:c>
      <x:c r="L68" s="163" t="str">
        <x:v>G4</x:v>
      </x:c>
      <x:c r="M68" s="163" t="str">
        <x:v>Permanent</x:v>
      </x:c>
      <x:c r="N68" s="163" t="str">
        <x:v>B</x:v>
      </x:c>
      <x:c r="O68" s="167" t="n">
        <x:v>45813</x:v>
      </x:c>
      <x:c r="P68" s="167" t="str"/>
      <x:c r="Q68" s="163" t="str">
        <x:v>Active</x:v>
      </x:c>
      <x:c r="R68" s="163" t="str">
        <x:v>Yes</x:v>
      </x:c>
      <x:c r="S68" s="163" t="str">
        <x:v>Automation and Maintenance</x:v>
      </x:c>
      <x:c r="T68" s="163" t="str">
        <x:v>Certified</x:v>
      </x:c>
      <x:c r="U68" s="169" t="n">
        <x:v>64500</x:v>
      </x:c>
      <x:c r="V68" s="169" t="n">
        <x:v>15300</x:v>
      </x:c>
      <x:c r="W68" s="169" t="n">
        <x:v>84960</x:v>
      </x:c>
      <x:c r="X68" s="163" t="str">
        <x:v>Pre-2026</x:v>
      </x:c>
      <x:c r="Y68" s="163" t="str">
        <x:v>Yes</x:v>
      </x:c>
      <x:c r="Z68" s="163" t="n">
        <x:f>ROUND((IF(P68="",DATE(2026,12,31),P68)-O68)/30.44,0)</x:f>
        <x:v>19</x:v>
      </x:c>
      <x:c r="AA68" s="169" t="n">
        <x:f>W68*12</x:f>
        <x:v>1019520</x:v>
      </x:c>
    </x:row>
    <x:row r="69">
      <x:c r="A69" s="163" t="str">
        <x:v>SG-23026102106</x:v>
      </x:c>
      <x:c r="B69" s="163" t="str">
        <x:v>Sakib Ahmed</x:v>
      </x:c>
      <x:c r="C69" s="163" t="str">
        <x:v>Male</x:v>
      </x:c>
      <x:c r="D69" s="163" t="n">
        <x:v>29</x:v>
      </x:c>
      <x:c r="E69" s="163" t="str">
        <x:v>Sirajganj</x:v>
      </x:c>
      <x:c r="F69" s="163" t="str">
        <x:v>SG-001</x:v>
      </x:c>
      <x:c r="G69" s="163" t="str">
        <x:v>Sabia Smart Devices Ltd.</x:v>
      </x:c>
      <x:c r="H69" s="163" t="str">
        <x:v>FAC-GZ</x:v>
      </x:c>
      <x:c r="I69" s="163" t="str">
        <x:v>230</x:v>
      </x:c>
      <x:c r="J69" s="163" t="str">
        <x:v>Engineering and Maintenance</x:v>
      </x:c>
      <x:c r="K69" s="163" t="str">
        <x:v>Maintenance Technician</x:v>
      </x:c>
      <x:c r="L69" s="163" t="str">
        <x:v>G2</x:v>
      </x:c>
      <x:c r="M69" s="163" t="str">
        <x:v>Permanent</x:v>
      </x:c>
      <x:c r="N69" s="163" t="str">
        <x:v>General</x:v>
      </x:c>
      <x:c r="O69" s="167" t="n">
        <x:v>44495</x:v>
      </x:c>
      <x:c r="P69" s="167" t="str"/>
      <x:c r="Q69" s="163" t="str">
        <x:v>Active</x:v>
      </x:c>
      <x:c r="R69" s="163" t="str">
        <x:v>Yes</x:v>
      </x:c>
      <x:c r="S69" s="163" t="str">
        <x:v>Automation and Maintenance</x:v>
      </x:c>
      <x:c r="T69" s="163" t="str">
        <x:v>Intermediate</x:v>
      </x:c>
      <x:c r="U69" s="169" t="n">
        <x:v>28500</x:v>
      </x:c>
      <x:c r="V69" s="169" t="n">
        <x:v>7400</x:v>
      </x:c>
      <x:c r="W69" s="169" t="n">
        <x:v>38180</x:v>
      </x:c>
      <x:c r="X69" s="163" t="str">
        <x:v>Pre-2026</x:v>
      </x:c>
      <x:c r="Y69" s="163" t="str">
        <x:v>Yes</x:v>
      </x:c>
      <x:c r="Z69" s="163" t="n">
        <x:f>ROUND((IF(P69="",DATE(2026,12,31),P69)-O69)/30.44,0)</x:f>
        <x:v>62</x:v>
      </x:c>
      <x:c r="AA69" s="169" t="n">
        <x:f>W69*12</x:f>
        <x:v>458160</x:v>
      </x:c>
    </x:row>
    <x:row r="70">
      <x:c r="A70" s="163" t="str">
        <x:v>SG-23008032007</x:v>
      </x:c>
      <x:c r="B70" s="163" t="str">
        <x:v>Nafisa Khan</x:v>
      </x:c>
      <x:c r="C70" s="163" t="str">
        <x:v>Female</x:v>
      </x:c>
      <x:c r="D70" s="163" t="n">
        <x:v>31</x:v>
      </x:c>
      <x:c r="E70" s="163" t="str">
        <x:v>Tangail</x:v>
      </x:c>
      <x:c r="F70" s="163" t="str">
        <x:v>SG-001</x:v>
      </x:c>
      <x:c r="G70" s="163" t="str">
        <x:v>Sabia Smart Devices Ltd.</x:v>
      </x:c>
      <x:c r="H70" s="163" t="str">
        <x:v>FAC-GZ</x:v>
      </x:c>
      <x:c r="I70" s="163" t="str">
        <x:v>230</x:v>
      </x:c>
      <x:c r="J70" s="163" t="str">
        <x:v>Engineering and Maintenance</x:v>
      </x:c>
      <x:c r="K70" s="163" t="str">
        <x:v>Engineering Manager</x:v>
      </x:c>
      <x:c r="L70" s="163" t="str">
        <x:v>G6</x:v>
      </x:c>
      <x:c r="M70" s="163" t="str">
        <x:v>Permanent</x:v>
      </x:c>
      <x:c r="N70" s="163" t="str">
        <x:v>A</x:v>
      </x:c>
      <x:c r="O70" s="167" t="n">
        <x:v>43898</x:v>
      </x:c>
      <x:c r="P70" s="167" t="str"/>
      <x:c r="Q70" s="163" t="str">
        <x:v>Active</x:v>
      </x:c>
      <x:c r="R70" s="163" t="str">
        <x:v>Yes</x:v>
      </x:c>
      <x:c r="S70" s="163" t="str">
        <x:v>Automation and Maintenance</x:v>
      </x:c>
      <x:c r="T70" s="163" t="str">
        <x:v>Certified</x:v>
      </x:c>
      <x:c r="U70" s="169" t="n">
        <x:v>164000</x:v>
      </x:c>
      <x:c r="V70" s="169" t="n">
        <x:v>21000</x:v>
      </x:c>
      <x:c r="W70" s="169" t="n">
        <x:v>198120</x:v>
      </x:c>
      <x:c r="X70" s="163" t="str">
        <x:v>Pre-2026</x:v>
      </x:c>
      <x:c r="Y70" s="163" t="str">
        <x:v>Yes</x:v>
      </x:c>
      <x:c r="Z70" s="163" t="n">
        <x:f>ROUND((IF(P70="",DATE(2026,12,31),P70)-O70)/30.44,0)</x:f>
        <x:v>82</x:v>
      </x:c>
      <x:c r="AA70" s="169" t="n">
        <x:f>W70*12</x:f>
        <x:v>2377440</x:v>
      </x:c>
    </x:row>
    <x:row r="71">
      <x:c r="A71" s="163" t="str">
        <x:v>SG-23015102408</x:v>
      </x:c>
      <x:c r="B71" s="163" t="str">
        <x:v>Aminul Akter</x:v>
      </x:c>
      <x:c r="C71" s="163" t="str">
        <x:v>Male</x:v>
      </x:c>
      <x:c r="D71" s="163" t="n">
        <x:v>35</x:v>
      </x:c>
      <x:c r="E71" s="163" t="str">
        <x:v>Rajshahi</x:v>
      </x:c>
      <x:c r="F71" s="163" t="str">
        <x:v>SG-001</x:v>
      </x:c>
      <x:c r="G71" s="163" t="str">
        <x:v>Sabia Smart Devices Ltd.</x:v>
      </x:c>
      <x:c r="H71" s="163" t="str">
        <x:v>FAC-GZ</x:v>
      </x:c>
      <x:c r="I71" s="163" t="str">
        <x:v>230</x:v>
      </x:c>
      <x:c r="J71" s="163" t="str">
        <x:v>Engineering and Maintenance</x:v>
      </x:c>
      <x:c r="K71" s="163" t="str">
        <x:v>Automation Technician</x:v>
      </x:c>
      <x:c r="L71" s="163" t="str">
        <x:v>G3</x:v>
      </x:c>
      <x:c r="M71" s="163" t="str">
        <x:v>Permanent</x:v>
      </x:c>
      <x:c r="N71" s="163" t="str">
        <x:v>B</x:v>
      </x:c>
      <x:c r="O71" s="167" t="n">
        <x:v>45580</x:v>
      </x:c>
      <x:c r="P71" s="167" t="str"/>
      <x:c r="Q71" s="163" t="str">
        <x:v>Active</x:v>
      </x:c>
      <x:c r="R71" s="163" t="str">
        <x:v>Yes</x:v>
      </x:c>
      <x:c r="S71" s="163" t="str">
        <x:v>Automation and Maintenance</x:v>
      </x:c>
      <x:c r="T71" s="163" t="str">
        <x:v>Certified</x:v>
      </x:c>
      <x:c r="U71" s="169" t="n">
        <x:v>34500</x:v>
      </x:c>
      <x:c r="V71" s="169" t="n">
        <x:v>8300</x:v>
      </x:c>
      <x:c r="W71" s="169" t="n">
        <x:v>45560</x:v>
      </x:c>
      <x:c r="X71" s="163" t="str">
        <x:v>Pre-2026</x:v>
      </x:c>
      <x:c r="Y71" s="163" t="str">
        <x:v>Yes</x:v>
      </x:c>
      <x:c r="Z71" s="163" t="n">
        <x:f>ROUND((IF(P71="",DATE(2026,12,31),P71)-O71)/30.44,0)</x:f>
        <x:v>27</x:v>
      </x:c>
      <x:c r="AA71" s="169" t="n">
        <x:f>W71*12</x:f>
        <x:v>546720</x:v>
      </x:c>
    </x:row>
    <x:row r="72">
      <x:c r="A72" s="163" t="str">
        <x:v>SG-24021022401</x:v>
      </x:c>
      <x:c r="B72" s="163" t="str">
        <x:v>Sanjida Chowdhury</x:v>
      </x:c>
      <x:c r="C72" s="163" t="str">
        <x:v>Female</x:v>
      </x:c>
      <x:c r="D72" s="163" t="n">
        <x:v>29</x:v>
      </x:c>
      <x:c r="E72" s="163" t="str">
        <x:v>Jashore</x:v>
      </x:c>
      <x:c r="F72" s="163" t="str">
        <x:v>SG-003</x:v>
      </x:c>
      <x:c r="G72" s="163" t="str">
        <x:v>Sabia Digital Services Ltd.</x:v>
      </x:c>
      <x:c r="H72" s="163" t="str">
        <x:v>FAC-HQ</x:v>
      </x:c>
      <x:c r="I72" s="163" t="str">
        <x:v>240</x:v>
      </x:c>
      <x:c r="J72" s="163" t="str">
        <x:v>Research and Development</x:v>
      </x:c>
      <x:c r="K72" s="163" t="str">
        <x:v>Embedded Systems Engineer</x:v>
      </x:c>
      <x:c r="L72" s="163" t="str">
        <x:v>G5</x:v>
      </x:c>
      <x:c r="M72" s="163" t="str">
        <x:v>Permanent</x:v>
      </x:c>
      <x:c r="N72" s="163" t="str">
        <x:v>General</x:v>
      </x:c>
      <x:c r="O72" s="167" t="n">
        <x:v>45343</x:v>
      </x:c>
      <x:c r="P72" s="167" t="str"/>
      <x:c r="Q72" s="163" t="str">
        <x:v>Active</x:v>
      </x:c>
      <x:c r="R72" s="163" t="str">
        <x:v>Yes</x:v>
      </x:c>
      <x:c r="S72" s="163" t="str">
        <x:v>Embedded Systems and IoT</x:v>
      </x:c>
      <x:c r="T72" s="163" t="str">
        <x:v>Certified</x:v>
      </x:c>
      <x:c r="U72" s="169" t="n">
        <x:v>85000</x:v>
      </x:c>
      <x:c r="V72" s="169" t="n">
        <x:v>18700</x:v>
      </x:c>
      <x:c r="W72" s="169" t="n">
        <x:v>110500</x:v>
      </x:c>
      <x:c r="X72" s="163" t="str">
        <x:v>Pre-2026</x:v>
      </x:c>
      <x:c r="Y72" s="163" t="str">
        <x:v>Yes</x:v>
      </x:c>
      <x:c r="Z72" s="163" t="n">
        <x:f>ROUND((IF(P72="",DATE(2026,12,31),P72)-O72)/30.44,0)</x:f>
        <x:v>34</x:v>
      </x:c>
      <x:c r="AA72" s="169" t="n">
        <x:f>W72*12</x:f>
        <x:v>1326000</x:v>
      </x:c>
    </x:row>
    <x:row r="73">
      <x:c r="A73" s="163" t="str">
        <x:v>SG-24010072202</x:v>
      </x:c>
      <x:c r="B73" s="163" t="str">
        <x:v>Nayeem Chowdhury</x:v>
      </x:c>
      <x:c r="C73" s="163" t="str">
        <x:v>Male</x:v>
      </x:c>
      <x:c r="D73" s="163" t="n">
        <x:v>37</x:v>
      </x:c>
      <x:c r="E73" s="163" t="str">
        <x:v>Chattogram</x:v>
      </x:c>
      <x:c r="F73" s="163" t="str">
        <x:v>SG-003</x:v>
      </x:c>
      <x:c r="G73" s="163" t="str">
        <x:v>Sabia Digital Services Ltd.</x:v>
      </x:c>
      <x:c r="H73" s="163" t="str">
        <x:v>FAC-HQ</x:v>
      </x:c>
      <x:c r="I73" s="163" t="str">
        <x:v>240</x:v>
      </x:c>
      <x:c r="J73" s="163" t="str">
        <x:v>Research and Development</x:v>
      </x:c>
      <x:c r="K73" s="163" t="str">
        <x:v>Embedded Systems Engineer</x:v>
      </x:c>
      <x:c r="L73" s="163" t="str">
        <x:v>G5</x:v>
      </x:c>
      <x:c r="M73" s="163" t="str">
        <x:v>Permanent</x:v>
      </x:c>
      <x:c r="N73" s="163" t="str">
        <x:v>General</x:v>
      </x:c>
      <x:c r="O73" s="167" t="n">
        <x:v>44752</x:v>
      </x:c>
      <x:c r="P73" s="167" t="str"/>
      <x:c r="Q73" s="163" t="str">
        <x:v>Active</x:v>
      </x:c>
      <x:c r="R73" s="163" t="str">
        <x:v>Yes</x:v>
      </x:c>
      <x:c r="S73" s="163" t="str">
        <x:v>Embedded Systems and IoT</x:v>
      </x:c>
      <x:c r="T73" s="163" t="str">
        <x:v>Entry</x:v>
      </x:c>
      <x:c r="U73" s="169" t="n">
        <x:v>75000</x:v>
      </x:c>
      <x:c r="V73" s="169" t="n">
        <x:v>15900</x:v>
      </x:c>
      <x:c r="W73" s="169" t="n">
        <x:v>96900</x:v>
      </x:c>
      <x:c r="X73" s="163" t="str">
        <x:v>Pre-2026</x:v>
      </x:c>
      <x:c r="Y73" s="163" t="str">
        <x:v>Yes</x:v>
      </x:c>
      <x:c r="Z73" s="163" t="n">
        <x:f>ROUND((IF(P73="",DATE(2026,12,31),P73)-O73)/30.44,0)</x:f>
        <x:v>54</x:v>
      </x:c>
      <x:c r="AA73" s="169" t="n">
        <x:f>W73*12</x:f>
        <x:v>1162800</x:v>
      </x:c>
    </x:row>
    <x:row r="74">
      <x:c r="A74" s="163" t="str">
        <x:v>SG-24020071903</x:v>
      </x:c>
      <x:c r="B74" s="163" t="str">
        <x:v>Shakil Khan</x:v>
      </x:c>
      <x:c r="C74" s="163" t="str">
        <x:v>Male</x:v>
      </x:c>
      <x:c r="D74" s="163" t="n">
        <x:v>31</x:v>
      </x:c>
      <x:c r="E74" s="163" t="str">
        <x:v>Rangpur</x:v>
      </x:c>
      <x:c r="F74" s="163" t="str">
        <x:v>SG-003</x:v>
      </x:c>
      <x:c r="G74" s="163" t="str">
        <x:v>Sabia Digital Services Ltd.</x:v>
      </x:c>
      <x:c r="H74" s="163" t="str">
        <x:v>FAC-HQ</x:v>
      </x:c>
      <x:c r="I74" s="163" t="str">
        <x:v>240</x:v>
      </x:c>
      <x:c r="J74" s="163" t="str">
        <x:v>Research and Development</x:v>
      </x:c>
      <x:c r="K74" s="163" t="str">
        <x:v>Product Test Engineer</x:v>
      </x:c>
      <x:c r="L74" s="163" t="str">
        <x:v>G4</x:v>
      </x:c>
      <x:c r="M74" s="163" t="str">
        <x:v>Permanent</x:v>
      </x:c>
      <x:c r="N74" s="163" t="str">
        <x:v>General</x:v>
      </x:c>
      <x:c r="O74" s="167" t="n">
        <x:v>43666</x:v>
      </x:c>
      <x:c r="P74" s="167" t="n">
        <x:v>46302</x:v>
      </x:c>
      <x:c r="Q74" s="163" t="str">
        <x:v>Exited</x:v>
      </x:c>
      <x:c r="R74" s="163" t="str">
        <x:v>Yes</x:v>
      </x:c>
      <x:c r="S74" s="163" t="str">
        <x:v>Embedded Systems and IoT</x:v>
      </x:c>
      <x:c r="T74" s="163" t="str">
        <x:v>Certified</x:v>
      </x:c>
      <x:c r="U74" s="169" t="n">
        <x:v>49500</x:v>
      </x:c>
      <x:c r="V74" s="169" t="n">
        <x:v>9400</x:v>
      </x:c>
      <x:c r="W74" s="169" t="n">
        <x:v>62860</x:v>
      </x:c>
      <x:c r="X74" s="163" t="str">
        <x:v>Pre-2026</x:v>
      </x:c>
      <x:c r="Y74" s="163" t="str">
        <x:v>Yes</x:v>
      </x:c>
      <x:c r="Z74" s="163" t="n">
        <x:f>ROUND((IF(P74="",DATE(2026,12,31),P74)-O74)/30.44,0)</x:f>
        <x:v>87</x:v>
      </x:c>
      <x:c r="AA74" s="169" t="n">
        <x:f>W74*12</x:f>
        <x:v>754320</x:v>
      </x:c>
    </x:row>
    <x:row r="75">
      <x:c r="A75" s="163" t="str">
        <x:v>SG-24030112504</x:v>
      </x:c>
      <x:c r="B75" s="163" t="str">
        <x:v>Riyad Miah</x:v>
      </x:c>
      <x:c r="C75" s="163" t="str">
        <x:v>Male</x:v>
      </x:c>
      <x:c r="D75" s="163" t="n">
        <x:v>33</x:v>
      </x:c>
      <x:c r="E75" s="163" t="str">
        <x:v>Pabna</x:v>
      </x:c>
      <x:c r="F75" s="163" t="str">
        <x:v>SG-003</x:v>
      </x:c>
      <x:c r="G75" s="163" t="str">
        <x:v>Sabia Digital Services Ltd.</x:v>
      </x:c>
      <x:c r="H75" s="163" t="str">
        <x:v>FAC-HQ</x:v>
      </x:c>
      <x:c r="I75" s="163" t="str">
        <x:v>240</x:v>
      </x:c>
      <x:c r="J75" s="163" t="str">
        <x:v>Research and Development</x:v>
      </x:c>
      <x:c r="K75" s="163" t="str">
        <x:v>Firmware Engineer</x:v>
      </x:c>
      <x:c r="L75" s="163" t="str">
        <x:v>G5</x:v>
      </x:c>
      <x:c r="M75" s="163" t="str">
        <x:v>Permanent</x:v>
      </x:c>
      <x:c r="N75" s="163" t="str">
        <x:v>General</x:v>
      </x:c>
      <x:c r="O75" s="167" t="n">
        <x:v>45991</x:v>
      </x:c>
      <x:c r="P75" s="167" t="str"/>
      <x:c r="Q75" s="163" t="str">
        <x:v>Active</x:v>
      </x:c>
      <x:c r="R75" s="163" t="str">
        <x:v>Yes</x:v>
      </x:c>
      <x:c r="S75" s="163" t="str">
        <x:v>Embedded Systems and IoT</x:v>
      </x:c>
      <x:c r="T75" s="163" t="str">
        <x:v>Certified</x:v>
      </x:c>
      <x:c r="U75" s="169" t="n">
        <x:v>107000</x:v>
      </x:c>
      <x:c r="V75" s="169" t="n">
        <x:v>19600</x:v>
      </x:c>
      <x:c r="W75" s="169" t="n">
        <x:v>135160</x:v>
      </x:c>
      <x:c r="X75" s="163" t="str">
        <x:v>Pre-2026</x:v>
      </x:c>
      <x:c r="Y75" s="163" t="str">
        <x:v>Yes</x:v>
      </x:c>
      <x:c r="Z75" s="163" t="n">
        <x:f>ROUND((IF(P75="",DATE(2026,12,31),P75)-O75)/30.44,0)</x:f>
        <x:v>13</x:v>
      </x:c>
      <x:c r="AA75" s="169" t="n">
        <x:f>W75*12</x:f>
        <x:v>1621920</x:v>
      </x:c>
    </x:row>
    <x:row r="76">
      <x:c r="A76" s="163" t="str">
        <x:v>SG-24021032005</x:v>
      </x:c>
      <x:c r="B76" s="163" t="str">
        <x:v>Nabila Hossain</x:v>
      </x:c>
      <x:c r="C76" s="163" t="str">
        <x:v>Female</x:v>
      </x:c>
      <x:c r="D76" s="163" t="n">
        <x:v>34</x:v>
      </x:c>
      <x:c r="E76" s="163" t="str">
        <x:v>Tangail</x:v>
      </x:c>
      <x:c r="F76" s="163" t="str">
        <x:v>SG-003</x:v>
      </x:c>
      <x:c r="G76" s="163" t="str">
        <x:v>Sabia Digital Services Ltd.</x:v>
      </x:c>
      <x:c r="H76" s="163" t="str">
        <x:v>FAC-HQ</x:v>
      </x:c>
      <x:c r="I76" s="163" t="str">
        <x:v>240</x:v>
      </x:c>
      <x:c r="J76" s="163" t="str">
        <x:v>Research and Development</x:v>
      </x:c>
      <x:c r="K76" s="163" t="str">
        <x:v>R&amp;D Manager</x:v>
      </x:c>
      <x:c r="L76" s="163" t="str">
        <x:v>G6</x:v>
      </x:c>
      <x:c r="M76" s="163" t="str">
        <x:v>Permanent</x:v>
      </x:c>
      <x:c r="N76" s="163" t="str">
        <x:v>General</x:v>
      </x:c>
      <x:c r="O76" s="167" t="n">
        <x:v>43911</x:v>
      </x:c>
      <x:c r="P76" s="167" t="str"/>
      <x:c r="Q76" s="163" t="str">
        <x:v>Active</x:v>
      </x:c>
      <x:c r="R76" s="163" t="str">
        <x:v>Yes</x:v>
      </x:c>
      <x:c r="S76" s="163" t="str">
        <x:v>Embedded Systems and IoT</x:v>
      </x:c>
      <x:c r="T76" s="163" t="str">
        <x:v>Advanced</x:v>
      </x:c>
      <x:c r="U76" s="169" t="n">
        <x:v>136500</x:v>
      </x:c>
      <x:c r="V76" s="169" t="n">
        <x:v>24800</x:v>
      </x:c>
      <x:c r="W76" s="169" t="n">
        <x:v>172220</x:v>
      </x:c>
      <x:c r="X76" s="163" t="str">
        <x:v>Pre-2026</x:v>
      </x:c>
      <x:c r="Y76" s="163" t="str">
        <x:v>Yes</x:v>
      </x:c>
      <x:c r="Z76" s="163" t="n">
        <x:f>ROUND((IF(P76="",DATE(2026,12,31),P76)-O76)/30.44,0)</x:f>
        <x:v>81</x:v>
      </x:c>
      <x:c r="AA76" s="169" t="n">
        <x:f>W76*12</x:f>
        <x:v>2066640</x:v>
      </x:c>
    </x:row>
    <x:row r="77">
      <x:c r="A77" s="163" t="str">
        <x:v>SG-24020022006</x:v>
      </x:c>
      <x:c r="B77" s="163" t="str">
        <x:v>Rukaiya Ahmed</x:v>
      </x:c>
      <x:c r="C77" s="163" t="str">
        <x:v>Female</x:v>
      </x:c>
      <x:c r="D77" s="163" t="n">
        <x:v>35</x:v>
      </x:c>
      <x:c r="E77" s="163" t="str">
        <x:v>Tangail</x:v>
      </x:c>
      <x:c r="F77" s="163" t="str">
        <x:v>SG-003</x:v>
      </x:c>
      <x:c r="G77" s="163" t="str">
        <x:v>Sabia Digital Services Ltd.</x:v>
      </x:c>
      <x:c r="H77" s="163" t="str">
        <x:v>FAC-HQ</x:v>
      </x:c>
      <x:c r="I77" s="163" t="str">
        <x:v>240</x:v>
      </x:c>
      <x:c r="J77" s="163" t="str">
        <x:v>Research and Development</x:v>
      </x:c>
      <x:c r="K77" s="163" t="str">
        <x:v>Firmware Engineer</x:v>
      </x:c>
      <x:c r="L77" s="163" t="str">
        <x:v>G5</x:v>
      </x:c>
      <x:c r="M77" s="163" t="str">
        <x:v>Probation</x:v>
      </x:c>
      <x:c r="N77" s="163" t="str">
        <x:v>General</x:v>
      </x:c>
      <x:c r="O77" s="167" t="n">
        <x:v>43881</x:v>
      </x:c>
      <x:c r="P77" s="167" t="str"/>
      <x:c r="Q77" s="163" t="str">
        <x:v>Active</x:v>
      </x:c>
      <x:c r="R77" s="163" t="str">
        <x:v>Yes</x:v>
      </x:c>
      <x:c r="S77" s="163" t="str">
        <x:v>Embedded Systems and IoT</x:v>
      </x:c>
      <x:c r="T77" s="163" t="str">
        <x:v>Certified</x:v>
      </x:c>
      <x:c r="U77" s="169" t="n">
        <x:v>81000</x:v>
      </x:c>
      <x:c r="V77" s="169" t="n">
        <x:v>20000</x:v>
      </x:c>
      <x:c r="W77" s="169" t="n">
        <x:v>107480</x:v>
      </x:c>
      <x:c r="X77" s="163" t="str">
        <x:v>Pre-2026</x:v>
      </x:c>
      <x:c r="Y77" s="163" t="str">
        <x:v>Yes</x:v>
      </x:c>
      <x:c r="Z77" s="163" t="n">
        <x:f>ROUND((IF(P77="",DATE(2026,12,31),P77)-O77)/30.44,0)</x:f>
        <x:v>82</x:v>
      </x:c>
      <x:c r="AA77" s="169" t="n">
        <x:f>W77*12</x:f>
        <x:v>1289760</x:v>
      </x:c>
    </x:row>
    <x:row r="78">
      <x:c r="A78" s="163" t="str">
        <x:v>SG-24002041907</x:v>
      </x:c>
      <x:c r="B78" s="163" t="str">
        <x:v>Siam Uddin</x:v>
      </x:c>
      <x:c r="C78" s="163" t="str">
        <x:v>Male</x:v>
      </x:c>
      <x:c r="D78" s="163" t="n">
        <x:v>37</x:v>
      </x:c>
      <x:c r="E78" s="163" t="str">
        <x:v>Rangpur</x:v>
      </x:c>
      <x:c r="F78" s="163" t="str">
        <x:v>SG-003</x:v>
      </x:c>
      <x:c r="G78" s="163" t="str">
        <x:v>Sabia Digital Services Ltd.</x:v>
      </x:c>
      <x:c r="H78" s="163" t="str">
        <x:v>FAC-HQ</x:v>
      </x:c>
      <x:c r="I78" s="163" t="str">
        <x:v>240</x:v>
      </x:c>
      <x:c r="J78" s="163" t="str">
        <x:v>Research and Development</x:v>
      </x:c>
      <x:c r="K78" s="163" t="str">
        <x:v>R&amp;D Manager</x:v>
      </x:c>
      <x:c r="L78" s="163" t="str">
        <x:v>G6</x:v>
      </x:c>
      <x:c r="M78" s="163" t="str">
        <x:v>Permanent</x:v>
      </x:c>
      <x:c r="N78" s="163" t="str">
        <x:v>General</x:v>
      </x:c>
      <x:c r="O78" s="167" t="n">
        <x:v>43557</x:v>
      </x:c>
      <x:c r="P78" s="167" t="str"/>
      <x:c r="Q78" s="163" t="str">
        <x:v>Active</x:v>
      </x:c>
      <x:c r="R78" s="163" t="str">
        <x:v>Yes</x:v>
      </x:c>
      <x:c r="S78" s="163" t="str">
        <x:v>Embedded Systems and IoT</x:v>
      </x:c>
      <x:c r="T78" s="163" t="str">
        <x:v>Entry</x:v>
      </x:c>
      <x:c r="U78" s="169" t="n">
        <x:v>166500</x:v>
      </x:c>
      <x:c r="V78" s="169" t="n">
        <x:v>38500</x:v>
      </x:c>
      <x:c r="W78" s="169" t="n">
        <x:v>218320</x:v>
      </x:c>
      <x:c r="X78" s="163" t="str">
        <x:v>Pre-2026</x:v>
      </x:c>
      <x:c r="Y78" s="163" t="str">
        <x:v>Yes</x:v>
      </x:c>
      <x:c r="Z78" s="163" t="n">
        <x:f>ROUND((IF(P78="",DATE(2026,12,31),P78)-O78)/30.44,0)</x:f>
        <x:v>93</x:v>
      </x:c>
      <x:c r="AA78" s="169" t="n">
        <x:f>W78*12</x:f>
        <x:v>2619840</x:v>
      </x:c>
    </x:row>
    <x:row r="79">
      <x:c r="A79" s="163" t="str">
        <x:v>SG-25025042101</x:v>
      </x:c>
      <x:c r="B79" s="163" t="str">
        <x:v>Tanvir Chowdhury</x:v>
      </x:c>
      <x:c r="C79" s="163" t="str">
        <x:v>Male</x:v>
      </x:c>
      <x:c r="D79" s="163" t="n">
        <x:v>36</x:v>
      </x:c>
      <x:c r="E79" s="163" t="str">
        <x:v>Tangail</x:v>
      </x:c>
      <x:c r="F79" s="163" t="str">
        <x:v>SG-001</x:v>
      </x:c>
      <x:c r="G79" s="163" t="str">
        <x:v>Sabia Smart Devices Ltd.</x:v>
      </x:c>
      <x:c r="H79" s="163" t="str">
        <x:v>FAC-GZ</x:v>
      </x:c>
      <x:c r="I79" s="163" t="str">
        <x:v>250</x:v>
      </x:c>
      <x:c r="J79" s="163" t="str">
        <x:v>Supply Chain and Planning</x:v>
      </x:c>
      <x:c r="K79" s="163" t="str">
        <x:v>Material Planner</x:v>
      </x:c>
      <x:c r="L79" s="163" t="str">
        <x:v>G3</x:v>
      </x:c>
      <x:c r="M79" s="163" t="str">
        <x:v>Probation</x:v>
      </x:c>
      <x:c r="N79" s="163" t="str">
        <x:v>General</x:v>
      </x:c>
      <x:c r="O79" s="167" t="n">
        <x:v>44311</x:v>
      </x:c>
      <x:c r="P79" s="167" t="n">
        <x:v>46063</x:v>
      </x:c>
      <x:c r="Q79" s="163" t="str">
        <x:v>Laid Off</x:v>
      </x:c>
      <x:c r="R79" s="163" t="str">
        <x:v>No</x:v>
      </x:c>
      <x:c r="S79" s="163" t="str">
        <x:v>Business Operations</x:v>
      </x:c>
      <x:c r="T79" s="163" t="str">
        <x:v>Certified</x:v>
      </x:c>
      <x:c r="U79" s="169" t="n">
        <x:v>40500</x:v>
      </x:c>
      <x:c r="V79" s="169" t="n">
        <x:v>8200</x:v>
      </x:c>
      <x:c r="W79" s="169" t="n">
        <x:v>51940</x:v>
      </x:c>
      <x:c r="X79" s="163" t="str">
        <x:v>Pre-2026</x:v>
      </x:c>
      <x:c r="Y79" s="163" t="str">
        <x:v>Yes</x:v>
      </x:c>
      <x:c r="Z79" s="163" t="n">
        <x:f>ROUND((IF(P79="",DATE(2026,12,31),P79)-O79)/30.44,0)</x:f>
        <x:v>58</x:v>
      </x:c>
      <x:c r="AA79" s="169" t="n">
        <x:f>W79*12</x:f>
        <x:v>623280</x:v>
      </x:c>
    </x:row>
    <x:row r="80">
      <x:c r="A80" s="163" t="str">
        <x:v>SG-25026052202</x:v>
      </x:c>
      <x:c r="B80" s="163" t="str">
        <x:v>Raisa Chowdhury</x:v>
      </x:c>
      <x:c r="C80" s="163" t="str">
        <x:v>Female</x:v>
      </x:c>
      <x:c r="D80" s="163" t="n">
        <x:v>31</x:v>
      </x:c>
      <x:c r="E80" s="163" t="str">
        <x:v>Natore</x:v>
      </x:c>
      <x:c r="F80" s="163" t="str">
        <x:v>SG-001</x:v>
      </x:c>
      <x:c r="G80" s="163" t="str">
        <x:v>Sabia Smart Devices Ltd.</x:v>
      </x:c>
      <x:c r="H80" s="163" t="str">
        <x:v>FAC-GZ</x:v>
      </x:c>
      <x:c r="I80" s="163" t="str">
        <x:v>250</x:v>
      </x:c>
      <x:c r="J80" s="163" t="str">
        <x:v>Supply Chain and Planning</x:v>
      </x:c>
      <x:c r="K80" s="163" t="str">
        <x:v>Material Planner</x:v>
      </x:c>
      <x:c r="L80" s="163" t="str">
        <x:v>G3</x:v>
      </x:c>
      <x:c r="M80" s="163" t="str">
        <x:v>Probation</x:v>
      </x:c>
      <x:c r="N80" s="163" t="str">
        <x:v>General</x:v>
      </x:c>
      <x:c r="O80" s="167" t="n">
        <x:v>44707</x:v>
      </x:c>
      <x:c r="P80" s="167" t="n">
        <x:v>46089</x:v>
      </x:c>
      <x:c r="Q80" s="163" t="str">
        <x:v>Laid Off</x:v>
      </x:c>
      <x:c r="R80" s="163" t="str">
        <x:v>No</x:v>
      </x:c>
      <x:c r="S80" s="163" t="str">
        <x:v>Business Operations</x:v>
      </x:c>
      <x:c r="T80" s="163" t="str">
        <x:v>Entry</x:v>
      </x:c>
      <x:c r="U80" s="169" t="n">
        <x:v>42500</x:v>
      </x:c>
      <x:c r="V80" s="169" t="n">
        <x:v>5600</x:v>
      </x:c>
      <x:c r="W80" s="169" t="n">
        <x:v>51500</x:v>
      </x:c>
      <x:c r="X80" s="163" t="str">
        <x:v>Pre-2026</x:v>
      </x:c>
      <x:c r="Y80" s="163" t="str">
        <x:v>Yes</x:v>
      </x:c>
      <x:c r="Z80" s="163" t="n">
        <x:f>ROUND((IF(P80="",DATE(2026,12,31),P80)-O80)/30.44,0)</x:f>
        <x:v>45</x:v>
      </x:c>
      <x:c r="AA80" s="169" t="n">
        <x:f>W80*12</x:f>
        <x:v>618000</x:v>
      </x:c>
    </x:row>
    <x:row r="81">
      <x:c r="A81" s="163" t="str">
        <x:v>SG-25008102503</x:v>
      </x:c>
      <x:c r="B81" s="163" t="str">
        <x:v>Rafi Bari</x:v>
      </x:c>
      <x:c r="C81" s="163" t="str">
        <x:v>Male</x:v>
      </x:c>
      <x:c r="D81" s="163" t="n">
        <x:v>34</x:v>
      </x:c>
      <x:c r="E81" s="163" t="str">
        <x:v>Kushtia</x:v>
      </x:c>
      <x:c r="F81" s="163" t="str">
        <x:v>SG-001</x:v>
      </x:c>
      <x:c r="G81" s="163" t="str">
        <x:v>Sabia Smart Devices Ltd.</x:v>
      </x:c>
      <x:c r="H81" s="163" t="str">
        <x:v>FAC-GZ</x:v>
      </x:c>
      <x:c r="I81" s="163" t="str">
        <x:v>250</x:v>
      </x:c>
      <x:c r="J81" s="163" t="str">
        <x:v>Supply Chain and Planning</x:v>
      </x:c>
      <x:c r="K81" s="163" t="str">
        <x:v>Supply Chain Analyst</x:v>
      </x:c>
      <x:c r="L81" s="163" t="str">
        <x:v>G4</x:v>
      </x:c>
      <x:c r="M81" s="163" t="str">
        <x:v>Permanent</x:v>
      </x:c>
      <x:c r="N81" s="163" t="str">
        <x:v>General</x:v>
      </x:c>
      <x:c r="O81" s="167" t="n">
        <x:v>45938</x:v>
      </x:c>
      <x:c r="P81" s="167" t="n">
        <x:v>46075</x:v>
      </x:c>
      <x:c r="Q81" s="163" t="str">
        <x:v>Laid Off</x:v>
      </x:c>
      <x:c r="R81" s="163" t="str">
        <x:v>No</x:v>
      </x:c>
      <x:c r="S81" s="163" t="str">
        <x:v>Business Operations</x:v>
      </x:c>
      <x:c r="T81" s="163" t="str">
        <x:v>Intermediate</x:v>
      </x:c>
      <x:c r="U81" s="169" t="n">
        <x:v>50000</x:v>
      </x:c>
      <x:c r="V81" s="169" t="n">
        <x:v>10600</x:v>
      </x:c>
      <x:c r="W81" s="169" t="n">
        <x:v>64600</x:v>
      </x:c>
      <x:c r="X81" s="163" t="str">
        <x:v>Pre-2026</x:v>
      </x:c>
      <x:c r="Y81" s="163" t="str">
        <x:v>Yes</x:v>
      </x:c>
      <x:c r="Z81" s="163" t="n">
        <x:f>ROUND((IF(P81="",DATE(2026,12,31),P81)-O81)/30.44,0)</x:f>
        <x:v>5</x:v>
      </x:c>
      <x:c r="AA81" s="169" t="n">
        <x:f>W81*12</x:f>
        <x:v>775200</x:v>
      </x:c>
    </x:row>
    <x:row r="82">
      <x:c r="A82" s="163" t="str">
        <x:v>SG-25013022004</x:v>
      </x:c>
      <x:c r="B82" s="163" t="str">
        <x:v>Rashed Sultana</x:v>
      </x:c>
      <x:c r="C82" s="163" t="str">
        <x:v>Male</x:v>
      </x:c>
      <x:c r="D82" s="163" t="n">
        <x:v>36</x:v>
      </x:c>
      <x:c r="E82" s="163" t="str">
        <x:v>Cumilla</x:v>
      </x:c>
      <x:c r="F82" s="163" t="str">
        <x:v>SG-001</x:v>
      </x:c>
      <x:c r="G82" s="163" t="str">
        <x:v>Sabia Smart Devices Ltd.</x:v>
      </x:c>
      <x:c r="H82" s="163" t="str">
        <x:v>FAC-GZ</x:v>
      </x:c>
      <x:c r="I82" s="163" t="str">
        <x:v>250</x:v>
      </x:c>
      <x:c r="J82" s="163" t="str">
        <x:v>Supply Chain and Planning</x:v>
      </x:c>
      <x:c r="K82" s="163" t="str">
        <x:v>Supply Chain Analyst</x:v>
      </x:c>
      <x:c r="L82" s="163" t="str">
        <x:v>G4</x:v>
      </x:c>
      <x:c r="M82" s="163" t="str">
        <x:v>Permanent</x:v>
      </x:c>
      <x:c r="N82" s="163" t="str">
        <x:v>General</x:v>
      </x:c>
      <x:c r="O82" s="167" t="n">
        <x:v>43874</x:v>
      </x:c>
      <x:c r="P82" s="167" t="str"/>
      <x:c r="Q82" s="163" t="str">
        <x:v>Active</x:v>
      </x:c>
      <x:c r="R82" s="163" t="str">
        <x:v>No</x:v>
      </x:c>
      <x:c r="S82" s="163" t="str">
        <x:v>Business Operations</x:v>
      </x:c>
      <x:c r="T82" s="163" t="str">
        <x:v>Intermediate</x:v>
      </x:c>
      <x:c r="U82" s="169" t="n">
        <x:v>49500</x:v>
      </x:c>
      <x:c r="V82" s="169" t="n">
        <x:v>11400</x:v>
      </x:c>
      <x:c r="W82" s="169" t="n">
        <x:v>64860</x:v>
      </x:c>
      <x:c r="X82" s="163" t="str">
        <x:v>Pre-2026</x:v>
      </x:c>
      <x:c r="Y82" s="163" t="str">
        <x:v>Yes</x:v>
      </x:c>
      <x:c r="Z82" s="163" t="n">
        <x:f>ROUND((IF(P82="",DATE(2026,12,31),P82)-O82)/30.44,0)</x:f>
        <x:v>83</x:v>
      </x:c>
      <x:c r="AA82" s="169" t="n">
        <x:f>W82*12</x:f>
        <x:v>778320</x:v>
      </x:c>
    </x:row>
    <x:row r="83">
      <x:c r="A83" s="163" t="str">
        <x:v>SG-25006072105</x:v>
      </x:c>
      <x:c r="B83" s="163" t="str">
        <x:v>Saif Miah</x:v>
      </x:c>
      <x:c r="C83" s="163" t="str">
        <x:v>Male</x:v>
      </x:c>
      <x:c r="D83" s="163" t="n">
        <x:v>27</x:v>
      </x:c>
      <x:c r="E83" s="163" t="str">
        <x:v>Mymensingh</x:v>
      </x:c>
      <x:c r="F83" s="163" t="str">
        <x:v>SG-002</x:v>
      </x:c>
      <x:c r="G83" s="163" t="str">
        <x:v>Sabia Components &amp; Packaging Ltd.</x:v>
      </x:c>
      <x:c r="H83" s="163" t="str">
        <x:v>FAC-NJ</x:v>
      </x:c>
      <x:c r="I83" s="163" t="str">
        <x:v>250</x:v>
      </x:c>
      <x:c r="J83" s="163" t="str">
        <x:v>Supply Chain and Planning</x:v>
      </x:c>
      <x:c r="K83" s="163" t="str">
        <x:v>Supply Chain Analyst</x:v>
      </x:c>
      <x:c r="L83" s="163" t="str">
        <x:v>G4</x:v>
      </x:c>
      <x:c r="M83" s="163" t="str">
        <x:v>Permanent</x:v>
      </x:c>
      <x:c r="N83" s="163" t="str">
        <x:v>General</x:v>
      </x:c>
      <x:c r="O83" s="167" t="n">
        <x:v>44383</x:v>
      </x:c>
      <x:c r="P83" s="167" t="n">
        <x:v>46071</x:v>
      </x:c>
      <x:c r="Q83" s="163" t="str">
        <x:v>Laid Off</x:v>
      </x:c>
      <x:c r="R83" s="163" t="str">
        <x:v>No</x:v>
      </x:c>
      <x:c r="S83" s="163" t="str">
        <x:v>Business Operations</x:v>
      </x:c>
      <x:c r="T83" s="163" t="str">
        <x:v>Entry</x:v>
      </x:c>
      <x:c r="U83" s="169" t="n">
        <x:v>69500</x:v>
      </x:c>
      <x:c r="V83" s="169" t="n">
        <x:v>17100</x:v>
      </x:c>
      <x:c r="W83" s="169" t="n">
        <x:v>92160</x:v>
      </x:c>
      <x:c r="X83" s="163" t="str">
        <x:v>Pre-2026</x:v>
      </x:c>
      <x:c r="Y83" s="163" t="str">
        <x:v>Yes</x:v>
      </x:c>
      <x:c r="Z83" s="163" t="n">
        <x:f>ROUND((IF(P83="",DATE(2026,12,31),P83)-O83)/30.44,0)</x:f>
        <x:v>55</x:v>
      </x:c>
      <x:c r="AA83" s="169" t="n">
        <x:f>W83*12</x:f>
        <x:v>1105920</x:v>
      </x:c>
    </x:row>
    <x:row r="84">
      <x:c r="A84" s="163" t="str">
        <x:v>SG-25007032106</x:v>
      </x:c>
      <x:c r="B84" s="163" t="str">
        <x:v>Sharmeen Rahman</x:v>
      </x:c>
      <x:c r="C84" s="163" t="str">
        <x:v>Female</x:v>
      </x:c>
      <x:c r="D84" s="163" t="n">
        <x:v>30</x:v>
      </x:c>
      <x:c r="E84" s="163" t="str">
        <x:v>Kushtia</x:v>
      </x:c>
      <x:c r="F84" s="163" t="str">
        <x:v>SG-002</x:v>
      </x:c>
      <x:c r="G84" s="163" t="str">
        <x:v>Sabia Components &amp; Packaging Ltd.</x:v>
      </x:c>
      <x:c r="H84" s="163" t="str">
        <x:v>FAC-NJ</x:v>
      </x:c>
      <x:c r="I84" s="163" t="str">
        <x:v>250</x:v>
      </x:c>
      <x:c r="J84" s="163" t="str">
        <x:v>Supply Chain and Planning</x:v>
      </x:c>
      <x:c r="K84" s="163" t="str">
        <x:v>Supply Chain Analyst</x:v>
      </x:c>
      <x:c r="L84" s="163" t="str">
        <x:v>G4</x:v>
      </x:c>
      <x:c r="M84" s="163" t="str">
        <x:v>Permanent</x:v>
      </x:c>
      <x:c r="N84" s="163" t="str">
        <x:v>General</x:v>
      </x:c>
      <x:c r="O84" s="167" t="n">
        <x:v>44262</x:v>
      </x:c>
      <x:c r="P84" s="167" t="str"/>
      <x:c r="Q84" s="163" t="str">
        <x:v>Active</x:v>
      </x:c>
      <x:c r="R84" s="163" t="str">
        <x:v>No</x:v>
      </x:c>
      <x:c r="S84" s="163" t="str">
        <x:v>Business Operations</x:v>
      </x:c>
      <x:c r="T84" s="163" t="str">
        <x:v>Intermediate</x:v>
      </x:c>
      <x:c r="U84" s="169" t="n">
        <x:v>58000</x:v>
      </x:c>
      <x:c r="V84" s="169" t="n">
        <x:v>11700</x:v>
      </x:c>
      <x:c r="W84" s="169" t="n">
        <x:v>74340</x:v>
      </x:c>
      <x:c r="X84" s="163" t="str">
        <x:v>Pre-2026</x:v>
      </x:c>
      <x:c r="Y84" s="163" t="str">
        <x:v>Yes</x:v>
      </x:c>
      <x:c r="Z84" s="163" t="n">
        <x:f>ROUND((IF(P84="",DATE(2026,12,31),P84)-O84)/30.44,0)</x:f>
        <x:v>70</x:v>
      </x:c>
      <x:c r="AA84" s="169" t="n">
        <x:f>W84*12</x:f>
        <x:v>892080</x:v>
      </x:c>
    </x:row>
    <x:row r="85">
      <x:c r="A85" s="163" t="str">
        <x:v>SG-26014051901</x:v>
      </x:c>
      <x:c r="B85" s="163" t="str">
        <x:v>Siam Ahmed</x:v>
      </x:c>
      <x:c r="C85" s="163" t="str">
        <x:v>Male</x:v>
      </x:c>
      <x:c r="D85" s="163" t="n">
        <x:v>28</x:v>
      </x:c>
      <x:c r="E85" s="163" t="str">
        <x:v>Brahmanbaria</x:v>
      </x:c>
      <x:c r="F85" s="163" t="str">
        <x:v>SG-003</x:v>
      </x:c>
      <x:c r="G85" s="163" t="str">
        <x:v>Sabia Digital Services Ltd.</x:v>
      </x:c>
      <x:c r="H85" s="163" t="str">
        <x:v>FAC-HQ</x:v>
      </x:c>
      <x:c r="I85" s="163" t="str">
        <x:v>260</x:v>
      </x:c>
      <x:c r="J85" s="163" t="str">
        <x:v>Procurement</x:v>
      </x:c>
      <x:c r="K85" s="163" t="str">
        <x:v>Procurement Officer</x:v>
      </x:c>
      <x:c r="L85" s="163" t="str">
        <x:v>G3</x:v>
      </x:c>
      <x:c r="M85" s="163" t="str">
        <x:v>Permanent</x:v>
      </x:c>
      <x:c r="N85" s="163" t="str">
        <x:v>General</x:v>
      </x:c>
      <x:c r="O85" s="167" t="n">
        <x:v>43599</x:v>
      </x:c>
      <x:c r="P85" s="167" t="n">
        <x:v>46069</x:v>
      </x:c>
      <x:c r="Q85" s="163" t="str">
        <x:v>Laid Off</x:v>
      </x:c>
      <x:c r="R85" s="163" t="str">
        <x:v>No</x:v>
      </x:c>
      <x:c r="S85" s="163" t="str">
        <x:v>Business Operations</x:v>
      </x:c>
      <x:c r="T85" s="163" t="str">
        <x:v>Advanced</x:v>
      </x:c>
      <x:c r="U85" s="169" t="n">
        <x:v>32000</x:v>
      </x:c>
      <x:c r="V85" s="169" t="n">
        <x:v>5700</x:v>
      </x:c>
      <x:c r="W85" s="169" t="n">
        <x:v>40260</x:v>
      </x:c>
      <x:c r="X85" s="163" t="str">
        <x:v>Pre-2026</x:v>
      </x:c>
      <x:c r="Y85" s="163" t="str">
        <x:v>Yes</x:v>
      </x:c>
      <x:c r="Z85" s="163" t="n">
        <x:f>ROUND((IF(P85="",DATE(2026,12,31),P85)-O85)/30.44,0)</x:f>
        <x:v>81</x:v>
      </x:c>
      <x:c r="AA85" s="169" t="n">
        <x:f>W85*12</x:f>
        <x:v>483120</x:v>
      </x:c>
    </x:row>
    <x:row r="86">
      <x:c r="A86" s="163" t="str">
        <x:v>SG-26005022102</x:v>
      </x:c>
      <x:c r="B86" s="163" t="str">
        <x:v>Raisa Islam</x:v>
      </x:c>
      <x:c r="C86" s="163" t="str">
        <x:v>Female</x:v>
      </x:c>
      <x:c r="D86" s="163" t="n">
        <x:v>30</x:v>
      </x:c>
      <x:c r="E86" s="163" t="str">
        <x:v>Chattogram</x:v>
      </x:c>
      <x:c r="F86" s="163" t="str">
        <x:v>SG-002</x:v>
      </x:c>
      <x:c r="G86" s="163" t="str">
        <x:v>Sabia Components &amp; Packaging Ltd.</x:v>
      </x:c>
      <x:c r="H86" s="163" t="str">
        <x:v>FAC-NJ</x:v>
      </x:c>
      <x:c r="I86" s="163" t="str">
        <x:v>260</x:v>
      </x:c>
      <x:c r="J86" s="163" t="str">
        <x:v>Procurement</x:v>
      </x:c>
      <x:c r="K86" s="163" t="str">
        <x:v>Procurement Officer</x:v>
      </x:c>
      <x:c r="L86" s="163" t="str">
        <x:v>G3</x:v>
      </x:c>
      <x:c r="M86" s="163" t="str">
        <x:v>Permanent</x:v>
      </x:c>
      <x:c r="N86" s="163" t="str">
        <x:v>General</x:v>
      </x:c>
      <x:c r="O86" s="167" t="n">
        <x:v>44232</x:v>
      </x:c>
      <x:c r="P86" s="167" t="n">
        <x:v>46080</x:v>
      </x:c>
      <x:c r="Q86" s="163" t="str">
        <x:v>Laid Off</x:v>
      </x:c>
      <x:c r="R86" s="163" t="str">
        <x:v>No</x:v>
      </x:c>
      <x:c r="S86" s="163" t="str">
        <x:v>Business Operations</x:v>
      </x:c>
      <x:c r="T86" s="163" t="str">
        <x:v>Entry</x:v>
      </x:c>
      <x:c r="U86" s="169" t="n">
        <x:v>33000</x:v>
      </x:c>
      <x:c r="V86" s="169" t="n">
        <x:v>5900</x:v>
      </x:c>
      <x:c r="W86" s="169" t="n">
        <x:v>41540</x:v>
      </x:c>
      <x:c r="X86" s="163" t="str">
        <x:v>Pre-2026</x:v>
      </x:c>
      <x:c r="Y86" s="163" t="str">
        <x:v>Yes</x:v>
      </x:c>
      <x:c r="Z86" s="163" t="n">
        <x:f>ROUND((IF(P86="",DATE(2026,12,31),P86)-O86)/30.44,0)</x:f>
        <x:v>61</x:v>
      </x:c>
      <x:c r="AA86" s="169" t="n">
        <x:f>W86*12</x:f>
        <x:v>498480</x:v>
      </x:c>
    </x:row>
    <x:row r="87">
      <x:c r="A87" s="163" t="str">
        <x:v>SG-26005072003</x:v>
      </x:c>
      <x:c r="B87" s="163" t="str">
        <x:v>Ayesha Miah</x:v>
      </x:c>
      <x:c r="C87" s="163" t="str">
        <x:v>Female</x:v>
      </x:c>
      <x:c r="D87" s="163" t="n">
        <x:v>39</x:v>
      </x:c>
      <x:c r="E87" s="163" t="str">
        <x:v>Jashore</x:v>
      </x:c>
      <x:c r="F87" s="163" t="str">
        <x:v>SG-002</x:v>
      </x:c>
      <x:c r="G87" s="163" t="str">
        <x:v>Sabia Components &amp; Packaging Ltd.</x:v>
      </x:c>
      <x:c r="H87" s="163" t="str">
        <x:v>FAC-NJ</x:v>
      </x:c>
      <x:c r="I87" s="163" t="str">
        <x:v>260</x:v>
      </x:c>
      <x:c r="J87" s="163" t="str">
        <x:v>Procurement</x:v>
      </x:c>
      <x:c r="K87" s="163" t="str">
        <x:v>Sourcing Specialist</x:v>
      </x:c>
      <x:c r="L87" s="163" t="str">
        <x:v>G4</x:v>
      </x:c>
      <x:c r="M87" s="163" t="str">
        <x:v>Permanent</x:v>
      </x:c>
      <x:c r="N87" s="163" t="str">
        <x:v>General</x:v>
      </x:c>
      <x:c r="O87" s="167" t="n">
        <x:v>44017</x:v>
      </x:c>
      <x:c r="P87" s="167" t="str"/>
      <x:c r="Q87" s="163" t="str">
        <x:v>Active</x:v>
      </x:c>
      <x:c r="R87" s="163" t="str">
        <x:v>No</x:v>
      </x:c>
      <x:c r="S87" s="163" t="str">
        <x:v>Business Operations</x:v>
      </x:c>
      <x:c r="T87" s="163" t="str">
        <x:v>Certified</x:v>
      </x:c>
      <x:c r="U87" s="169" t="n">
        <x:v>53000</x:v>
      </x:c>
      <x:c r="V87" s="169" t="n">
        <x:v>9000</x:v>
      </x:c>
      <x:c r="W87" s="169" t="n">
        <x:v>66240</x:v>
      </x:c>
      <x:c r="X87" s="163" t="str">
        <x:v>Pre-2026</x:v>
      </x:c>
      <x:c r="Y87" s="163" t="str">
        <x:v>Yes</x:v>
      </x:c>
      <x:c r="Z87" s="163" t="n">
        <x:f>ROUND((IF(P87="",DATE(2026,12,31),P87)-O87)/30.44,0)</x:f>
        <x:v>78</x:v>
      </x:c>
      <x:c r="AA87" s="169" t="n">
        <x:f>W87*12</x:f>
        <x:v>794880</x:v>
      </x:c>
    </x:row>
    <x:row r="88">
      <x:c r="A88" s="163" t="str">
        <x:v>SG-26002032004</x:v>
      </x:c>
      <x:c r="B88" s="163" t="str">
        <x:v>Tanjila Karim</x:v>
      </x:c>
      <x:c r="C88" s="163" t="str">
        <x:v>Female</x:v>
      </x:c>
      <x:c r="D88" s="163" t="n">
        <x:v>33</x:v>
      </x:c>
      <x:c r="E88" s="163" t="str">
        <x:v>Rangpur</x:v>
      </x:c>
      <x:c r="F88" s="163" t="str">
        <x:v>SG-003</x:v>
      </x:c>
      <x:c r="G88" s="163" t="str">
        <x:v>Sabia Digital Services Ltd.</x:v>
      </x:c>
      <x:c r="H88" s="163" t="str">
        <x:v>FAC-HQ</x:v>
      </x:c>
      <x:c r="I88" s="163" t="str">
        <x:v>260</x:v>
      </x:c>
      <x:c r="J88" s="163" t="str">
        <x:v>Procurement</x:v>
      </x:c>
      <x:c r="K88" s="163" t="str">
        <x:v>Vendor Development Executive</x:v>
      </x:c>
      <x:c r="L88" s="163" t="str">
        <x:v>G4</x:v>
      </x:c>
      <x:c r="M88" s="163" t="str">
        <x:v>Probation</x:v>
      </x:c>
      <x:c r="N88" s="163" t="str">
        <x:v>General</x:v>
      </x:c>
      <x:c r="O88" s="167" t="n">
        <x:v>43892</x:v>
      </x:c>
      <x:c r="P88" s="167" t="n">
        <x:v>46083</x:v>
      </x:c>
      <x:c r="Q88" s="163" t="str">
        <x:v>Laid Off</x:v>
      </x:c>
      <x:c r="R88" s="163" t="str">
        <x:v>No</x:v>
      </x:c>
      <x:c r="S88" s="163" t="str">
        <x:v>Business Operations</x:v>
      </x:c>
      <x:c r="T88" s="163" t="str">
        <x:v>Advanced</x:v>
      </x:c>
      <x:c r="U88" s="169" t="n">
        <x:v>54000</x:v>
      </x:c>
      <x:c r="V88" s="169" t="n">
        <x:v>10400</x:v>
      </x:c>
      <x:c r="W88" s="169" t="n">
        <x:v>68720</x:v>
      </x:c>
      <x:c r="X88" s="163" t="str">
        <x:v>Pre-2026</x:v>
      </x:c>
      <x:c r="Y88" s="163" t="str">
        <x:v>Yes</x:v>
      </x:c>
      <x:c r="Z88" s="163" t="n">
        <x:f>ROUND((IF(P88="",DATE(2026,12,31),P88)-O88)/30.44,0)</x:f>
        <x:v>72</x:v>
      </x:c>
      <x:c r="AA88" s="169" t="n">
        <x:f>W88*12</x:f>
        <x:v>824640</x:v>
      </x:c>
    </x:row>
    <x:row r="89">
      <x:c r="A89" s="163" t="str">
        <x:v>SG-27016122001</x:v>
      </x:c>
      <x:c r="B89" s="163" t="str">
        <x:v>Nabila Kabir</x:v>
      </x:c>
      <x:c r="C89" s="163" t="str">
        <x:v>Female</x:v>
      </x:c>
      <x:c r="D89" s="163" t="n">
        <x:v>31</x:v>
      </x:c>
      <x:c r="E89" s="163" t="str">
        <x:v>Rajshahi</x:v>
      </x:c>
      <x:c r="F89" s="163" t="str">
        <x:v>SG-003</x:v>
      </x:c>
      <x:c r="G89" s="163" t="str">
        <x:v>Sabia Digital Services Ltd.</x:v>
      </x:c>
      <x:c r="H89" s="163" t="str">
        <x:v>FAC-HQ</x:v>
      </x:c>
      <x:c r="I89" s="163" t="str">
        <x:v>270</x:v>
      </x:c>
      <x:c r="J89" s="163" t="str">
        <x:v>Finance and Accounts</x:v>
      </x:c>
      <x:c r="K89" s="163" t="str">
        <x:v>Financial Analyst</x:v>
      </x:c>
      <x:c r="L89" s="163" t="str">
        <x:v>G4</x:v>
      </x:c>
      <x:c r="M89" s="163" t="str">
        <x:v>Permanent</x:v>
      </x:c>
      <x:c r="N89" s="163" t="str">
        <x:v>General</x:v>
      </x:c>
      <x:c r="O89" s="167" t="n">
        <x:v>44181</x:v>
      </x:c>
      <x:c r="P89" s="167" t="str"/>
      <x:c r="Q89" s="163" t="str">
        <x:v>Active</x:v>
      </x:c>
      <x:c r="R89" s="163" t="str">
        <x:v>No</x:v>
      </x:c>
      <x:c r="S89" s="163" t="str">
        <x:v>Business Operations</x:v>
      </x:c>
      <x:c r="T89" s="163" t="str">
        <x:v>Intermediate</x:v>
      </x:c>
      <x:c r="U89" s="169" t="n">
        <x:v>51500</x:v>
      </x:c>
      <x:c r="V89" s="169" t="n">
        <x:v>10500</x:v>
      </x:c>
      <x:c r="W89" s="169" t="n">
        <x:v>66120</x:v>
      </x:c>
      <x:c r="X89" s="163" t="str">
        <x:v>Pre-2026</x:v>
      </x:c>
      <x:c r="Y89" s="163" t="str">
        <x:v>Yes</x:v>
      </x:c>
      <x:c r="Z89" s="163" t="n">
        <x:f>ROUND((IF(P89="",DATE(2026,12,31),P89)-O89)/30.44,0)</x:f>
        <x:v>72</x:v>
      </x:c>
      <x:c r="AA89" s="169" t="n">
        <x:f>W89*12</x:f>
        <x:v>793440</x:v>
      </x:c>
    </x:row>
    <x:row r="90">
      <x:c r="A90" s="163" t="str">
        <x:v>SG-27024032502</x:v>
      </x:c>
      <x:c r="B90" s="163" t="str">
        <x:v>Farzana Jahan</x:v>
      </x:c>
      <x:c r="C90" s="163" t="str">
        <x:v>Female</x:v>
      </x:c>
      <x:c r="D90" s="163" t="n">
        <x:v>37</x:v>
      </x:c>
      <x:c r="E90" s="163" t="str">
        <x:v>Chattogram</x:v>
      </x:c>
      <x:c r="F90" s="163" t="str">
        <x:v>SG-003</x:v>
      </x:c>
      <x:c r="G90" s="163" t="str">
        <x:v>Sabia Digital Services Ltd.</x:v>
      </x:c>
      <x:c r="H90" s="163" t="str">
        <x:v>FAC-HQ</x:v>
      </x:c>
      <x:c r="I90" s="163" t="str">
        <x:v>270</x:v>
      </x:c>
      <x:c r="J90" s="163" t="str">
        <x:v>Finance and Accounts</x:v>
      </x:c>
      <x:c r="K90" s="163" t="str">
        <x:v>Costing Analyst</x:v>
      </x:c>
      <x:c r="L90" s="163" t="str">
        <x:v>G4</x:v>
      </x:c>
      <x:c r="M90" s="163" t="str">
        <x:v>Permanent</x:v>
      </x:c>
      <x:c r="N90" s="163" t="str">
        <x:v>General</x:v>
      </x:c>
      <x:c r="O90" s="167" t="n">
        <x:v>45740</x:v>
      </x:c>
      <x:c r="P90" s="167" t="n">
        <x:v>46063</x:v>
      </x:c>
      <x:c r="Q90" s="163" t="str">
        <x:v>Laid Off</x:v>
      </x:c>
      <x:c r="R90" s="163" t="str">
        <x:v>No</x:v>
      </x:c>
      <x:c r="S90" s="163" t="str">
        <x:v>Business Operations</x:v>
      </x:c>
      <x:c r="T90" s="163" t="str">
        <x:v>Entry</x:v>
      </x:c>
      <x:c r="U90" s="169" t="n">
        <x:v>48000</x:v>
      </x:c>
      <x:c r="V90" s="169" t="n">
        <x:v>6100</x:v>
      </x:c>
      <x:c r="W90" s="169" t="n">
        <x:v>57940</x:v>
      </x:c>
      <x:c r="X90" s="163" t="str">
        <x:v>Pre-2026</x:v>
      </x:c>
      <x:c r="Y90" s="163" t="str">
        <x:v>Yes</x:v>
      </x:c>
      <x:c r="Z90" s="163" t="n">
        <x:f>ROUND((IF(P90="",DATE(2026,12,31),P90)-O90)/30.44,0)</x:f>
        <x:v>11</x:v>
      </x:c>
      <x:c r="AA90" s="169" t="n">
        <x:f>W90*12</x:f>
        <x:v>695280</x:v>
      </x:c>
    </x:row>
    <x:row r="91">
      <x:c r="A91" s="163" t="str">
        <x:v>SG-27008102203</x:v>
      </x:c>
      <x:c r="B91" s="163" t="str">
        <x:v>Maliha Bari</x:v>
      </x:c>
      <x:c r="C91" s="163" t="str">
        <x:v>Female</x:v>
      </x:c>
      <x:c r="D91" s="163" t="n">
        <x:v>37</x:v>
      </x:c>
      <x:c r="E91" s="163" t="str">
        <x:v>Rangpur</x:v>
      </x:c>
      <x:c r="F91" s="163" t="str">
        <x:v>SG-003</x:v>
      </x:c>
      <x:c r="G91" s="163" t="str">
        <x:v>Sabia Digital Services Ltd.</x:v>
      </x:c>
      <x:c r="H91" s="163" t="str">
        <x:v>FAC-HQ</x:v>
      </x:c>
      <x:c r="I91" s="163" t="str">
        <x:v>270</x:v>
      </x:c>
      <x:c r="J91" s="163" t="str">
        <x:v>Finance and Accounts</x:v>
      </x:c>
      <x:c r="K91" s="163" t="str">
        <x:v>Costing Analyst</x:v>
      </x:c>
      <x:c r="L91" s="163" t="str">
        <x:v>G4</x:v>
      </x:c>
      <x:c r="M91" s="163" t="str">
        <x:v>Permanent</x:v>
      </x:c>
      <x:c r="N91" s="163" t="str">
        <x:v>General</x:v>
      </x:c>
      <x:c r="O91" s="167" t="n">
        <x:v>44842</x:v>
      </x:c>
      <x:c r="P91" s="167" t="n">
        <x:v>46075</x:v>
      </x:c>
      <x:c r="Q91" s="163" t="str">
        <x:v>Laid Off</x:v>
      </x:c>
      <x:c r="R91" s="163" t="str">
        <x:v>No</x:v>
      </x:c>
      <x:c r="S91" s="163" t="str">
        <x:v>Business Operations</x:v>
      </x:c>
      <x:c r="T91" s="163" t="str">
        <x:v>Entry</x:v>
      </x:c>
      <x:c r="U91" s="169" t="n">
        <x:v>49000</x:v>
      </x:c>
      <x:c r="V91" s="169" t="n">
        <x:v>11700</x:v>
      </x:c>
      <x:c r="W91" s="169" t="n">
        <x:v>64620</x:v>
      </x:c>
      <x:c r="X91" s="163" t="str">
        <x:v>Pre-2026</x:v>
      </x:c>
      <x:c r="Y91" s="163" t="str">
        <x:v>Yes</x:v>
      </x:c>
      <x:c r="Z91" s="163" t="n">
        <x:f>ROUND((IF(P91="",DATE(2026,12,31),P91)-O91)/30.44,0)</x:f>
        <x:v>41</x:v>
      </x:c>
      <x:c r="AA91" s="169" t="n">
        <x:f>W91*12</x:f>
        <x:v>775440</x:v>
      </x:c>
    </x:row>
    <x:row r="92">
      <x:c r="A92" s="163" t="str">
        <x:v>SG-27024112004</x:v>
      </x:c>
      <x:c r="B92" s="163" t="str">
        <x:v>Jubayer Chowdhury</x:v>
      </x:c>
      <x:c r="C92" s="163" t="str">
        <x:v>Male</x:v>
      </x:c>
      <x:c r="D92" s="163" t="n">
        <x:v>29</x:v>
      </x:c>
      <x:c r="E92" s="163" t="str">
        <x:v>Dhaka</x:v>
      </x:c>
      <x:c r="F92" s="163" t="str">
        <x:v>SG-003</x:v>
      </x:c>
      <x:c r="G92" s="163" t="str">
        <x:v>Sabia Digital Services Ltd.</x:v>
      </x:c>
      <x:c r="H92" s="163" t="str">
        <x:v>FAC-HQ</x:v>
      </x:c>
      <x:c r="I92" s="163" t="str">
        <x:v>270</x:v>
      </x:c>
      <x:c r="J92" s="163" t="str">
        <x:v>Finance and Accounts</x:v>
      </x:c>
      <x:c r="K92" s="163" t="str">
        <x:v>Accounts Officer</x:v>
      </x:c>
      <x:c r="L92" s="163" t="str">
        <x:v>G3</x:v>
      </x:c>
      <x:c r="M92" s="163" t="str">
        <x:v>Probation</x:v>
      </x:c>
      <x:c r="N92" s="163" t="str">
        <x:v>General</x:v>
      </x:c>
      <x:c r="O92" s="167" t="n">
        <x:v>44159</x:v>
      </x:c>
      <x:c r="P92" s="167" t="n">
        <x:v>46091</x:v>
      </x:c>
      <x:c r="Q92" s="163" t="str">
        <x:v>Laid Off</x:v>
      </x:c>
      <x:c r="R92" s="163" t="str">
        <x:v>No</x:v>
      </x:c>
      <x:c r="S92" s="163" t="str">
        <x:v>Business Operations</x:v>
      </x:c>
      <x:c r="T92" s="163" t="str">
        <x:v>Intermediate</x:v>
      </x:c>
      <x:c r="U92" s="169" t="n">
        <x:v>45000</x:v>
      </x:c>
      <x:c r="V92" s="169" t="n">
        <x:v>10500</x:v>
      </x:c>
      <x:c r="W92" s="169" t="n">
        <x:v>59100</x:v>
      </x:c>
      <x:c r="X92" s="163" t="str">
        <x:v>Pre-2026</x:v>
      </x:c>
      <x:c r="Y92" s="163" t="str">
        <x:v>Yes</x:v>
      </x:c>
      <x:c r="Z92" s="163" t="n">
        <x:f>ROUND((IF(P92="",DATE(2026,12,31),P92)-O92)/30.44,0)</x:f>
        <x:v>63</x:v>
      </x:c>
      <x:c r="AA92" s="169" t="n">
        <x:f>W92*12</x:f>
        <x:v>709200</x:v>
      </x:c>
    </x:row>
    <x:row r="93">
      <x:c r="A93" s="163" t="str">
        <x:v>SG-28028062201</x:v>
      </x:c>
      <x:c r="B93" s="163" t="str">
        <x:v>Sabrina Akter</x:v>
      </x:c>
      <x:c r="C93" s="163" t="str">
        <x:v>Female</x:v>
      </x:c>
      <x:c r="D93" s="163" t="n">
        <x:v>33</x:v>
      </x:c>
      <x:c r="E93" s="163" t="str">
        <x:v>Dhaka</x:v>
      </x:c>
      <x:c r="F93" s="163" t="str">
        <x:v>SG-003</x:v>
      </x:c>
      <x:c r="G93" s="163" t="str">
        <x:v>Sabia Digital Services Ltd.</x:v>
      </x:c>
      <x:c r="H93" s="163" t="str">
        <x:v>FAC-HQ</x:v>
      </x:c>
      <x:c r="I93" s="163" t="str">
        <x:v>280</x:v>
      </x:c>
      <x:c r="J93" s="163" t="str">
        <x:v>IT Data and HRIS</x:v>
      </x:c>
      <x:c r="K93" s="163" t="str">
        <x:v>BI Developer</x:v>
      </x:c>
      <x:c r="L93" s="163" t="str">
        <x:v>G5</x:v>
      </x:c>
      <x:c r="M93" s="163" t="str">
        <x:v>Permanent</x:v>
      </x:c>
      <x:c r="N93" s="163" t="str">
        <x:v>General</x:v>
      </x:c>
      <x:c r="O93" s="167" t="n">
        <x:v>44740</x:v>
      </x:c>
      <x:c r="P93" s="167" t="str"/>
      <x:c r="Q93" s="163" t="str">
        <x:v>Active</x:v>
      </x:c>
      <x:c r="R93" s="163" t="str">
        <x:v>Yes</x:v>
      </x:c>
      <x:c r="S93" s="163" t="str">
        <x:v>Data BI and HR Technology</x:v>
      </x:c>
      <x:c r="T93" s="163" t="str">
        <x:v>Intermediate</x:v>
      </x:c>
      <x:c r="U93" s="169" t="n">
        <x:v>101500</x:v>
      </x:c>
      <x:c r="V93" s="169" t="n">
        <x:v>23400</x:v>
      </x:c>
      <x:c r="W93" s="169" t="n">
        <x:v>133020</x:v>
      </x:c>
      <x:c r="X93" s="163" t="str">
        <x:v>Pre-2026</x:v>
      </x:c>
      <x:c r="Y93" s="163" t="str">
        <x:v>Yes</x:v>
      </x:c>
      <x:c r="Z93" s="163" t="n">
        <x:f>ROUND((IF(P93="",DATE(2026,12,31),P93)-O93)/30.44,0)</x:f>
        <x:v>54</x:v>
      </x:c>
      <x:c r="AA93" s="169" t="n">
        <x:f>W93*12</x:f>
        <x:v>1596240</x:v>
      </x:c>
    </x:row>
    <x:row r="94">
      <x:c r="A94" s="163" t="str">
        <x:v>SG-28012122402</x:v>
      </x:c>
      <x:c r="B94" s="163" t="str">
        <x:v>Siam Bari</x:v>
      </x:c>
      <x:c r="C94" s="163" t="str">
        <x:v>Male</x:v>
      </x:c>
      <x:c r="D94" s="163" t="n">
        <x:v>32</x:v>
      </x:c>
      <x:c r="E94" s="163" t="str">
        <x:v>Chattogram</x:v>
      </x:c>
      <x:c r="F94" s="163" t="str">
        <x:v>SG-003</x:v>
      </x:c>
      <x:c r="G94" s="163" t="str">
        <x:v>Sabia Digital Services Ltd.</x:v>
      </x:c>
      <x:c r="H94" s="163" t="str">
        <x:v>FAC-HQ</x:v>
      </x:c>
      <x:c r="I94" s="163" t="str">
        <x:v>280</x:v>
      </x:c>
      <x:c r="J94" s="163" t="str">
        <x:v>IT Data and HRIS</x:v>
      </x:c>
      <x:c r="K94" s="163" t="str">
        <x:v>HRIS Analyst</x:v>
      </x:c>
      <x:c r="L94" s="163" t="str">
        <x:v>G4</x:v>
      </x:c>
      <x:c r="M94" s="163" t="str">
        <x:v>Permanent</x:v>
      </x:c>
      <x:c r="N94" s="163" t="str">
        <x:v>General</x:v>
      </x:c>
      <x:c r="O94" s="167" t="n">
        <x:v>45638</x:v>
      </x:c>
      <x:c r="P94" s="167" t="n">
        <x:v>46368</x:v>
      </x:c>
      <x:c r="Q94" s="163" t="str">
        <x:v>Exited</x:v>
      </x:c>
      <x:c r="R94" s="163" t="str">
        <x:v>Yes</x:v>
      </x:c>
      <x:c r="S94" s="163" t="str">
        <x:v>Data BI and HR Technology</x:v>
      </x:c>
      <x:c r="T94" s="163" t="str">
        <x:v>Intermediate</x:v>
      </x:c>
      <x:c r="U94" s="169" t="n">
        <x:v>46500</x:v>
      </x:c>
      <x:c r="V94" s="169" t="n">
        <x:v>11200</x:v>
      </x:c>
      <x:c r="W94" s="169" t="n">
        <x:v>61420</x:v>
      </x:c>
      <x:c r="X94" s="163" t="str">
        <x:v>Pre-2026</x:v>
      </x:c>
      <x:c r="Y94" s="163" t="str">
        <x:v>Yes</x:v>
      </x:c>
      <x:c r="Z94" s="163" t="n">
        <x:f>ROUND((IF(P94="",DATE(2026,12,31),P94)-O94)/30.44,0)</x:f>
        <x:v>24</x:v>
      </x:c>
      <x:c r="AA94" s="169" t="n">
        <x:f>W94*12</x:f>
        <x:v>737040</x:v>
      </x:c>
    </x:row>
    <x:row r="95">
      <x:c r="A95" s="163" t="str">
        <x:v>SG-28005032303</x:v>
      </x:c>
      <x:c r="B95" s="163" t="str">
        <x:v>Tasnim Miah</x:v>
      </x:c>
      <x:c r="C95" s="163" t="str">
        <x:v>Female</x:v>
      </x:c>
      <x:c r="D95" s="163" t="n">
        <x:v>31</x:v>
      </x:c>
      <x:c r="E95" s="163" t="str">
        <x:v>Kushtia</x:v>
      </x:c>
      <x:c r="F95" s="163" t="str">
        <x:v>SG-003</x:v>
      </x:c>
      <x:c r="G95" s="163" t="str">
        <x:v>Sabia Digital Services Ltd.</x:v>
      </x:c>
      <x:c r="H95" s="163" t="str">
        <x:v>FAC-HQ</x:v>
      </x:c>
      <x:c r="I95" s="163" t="str">
        <x:v>280</x:v>
      </x:c>
      <x:c r="J95" s="163" t="str">
        <x:v>IT Data and HRIS</x:v>
      </x:c>
      <x:c r="K95" s="163" t="str">
        <x:v>HRIS Analyst</x:v>
      </x:c>
      <x:c r="L95" s="163" t="str">
        <x:v>G4</x:v>
      </x:c>
      <x:c r="M95" s="163" t="str">
        <x:v>Permanent</x:v>
      </x:c>
      <x:c r="N95" s="163" t="str">
        <x:v>General</x:v>
      </x:c>
      <x:c r="O95" s="167" t="n">
        <x:v>44990</x:v>
      </x:c>
      <x:c r="P95" s="167" t="str"/>
      <x:c r="Q95" s="163" t="str">
        <x:v>Active</x:v>
      </x:c>
      <x:c r="R95" s="163" t="str">
        <x:v>Yes</x:v>
      </x:c>
      <x:c r="S95" s="163" t="str">
        <x:v>Data BI and HR Technology</x:v>
      </x:c>
      <x:c r="T95" s="163" t="str">
        <x:v>Entry</x:v>
      </x:c>
      <x:c r="U95" s="169" t="n">
        <x:v>47500</x:v>
      </x:c>
      <x:c r="V95" s="169" t="n">
        <x:v>8900</x:v>
      </x:c>
      <x:c r="W95" s="169" t="n">
        <x:v>60200</x:v>
      </x:c>
      <x:c r="X95" s="163" t="str">
        <x:v>Pre-2026</x:v>
      </x:c>
      <x:c r="Y95" s="163" t="str">
        <x:v>Yes</x:v>
      </x:c>
      <x:c r="Z95" s="163" t="n">
        <x:f>ROUND((IF(P95="",DATE(2026,12,31),P95)-O95)/30.44,0)</x:f>
        <x:v>46</x:v>
      </x:c>
      <x:c r="AA95" s="169" t="n">
        <x:f>W95*12</x:f>
        <x:v>722400</x:v>
      </x:c>
    </x:row>
    <x:row r="96">
      <x:c r="A96" s="163" t="str">
        <x:v>SG-28027042404</x:v>
      </x:c>
      <x:c r="B96" s="163" t="str">
        <x:v>Maliha Akter</x:v>
      </x:c>
      <x:c r="C96" s="163" t="str">
        <x:v>Female</x:v>
      </x:c>
      <x:c r="D96" s="163" t="n">
        <x:v>37</x:v>
      </x:c>
      <x:c r="E96" s="163" t="str">
        <x:v>Sirajganj</x:v>
      </x:c>
      <x:c r="F96" s="163" t="str">
        <x:v>SG-003</x:v>
      </x:c>
      <x:c r="G96" s="163" t="str">
        <x:v>Sabia Digital Services Ltd.</x:v>
      </x:c>
      <x:c r="H96" s="163" t="str">
        <x:v>FAC-HQ</x:v>
      </x:c>
      <x:c r="I96" s="163" t="str">
        <x:v>280</x:v>
      </x:c>
      <x:c r="J96" s="163" t="str">
        <x:v>IT Data and HRIS</x:v>
      </x:c>
      <x:c r="K96" s="163" t="str">
        <x:v>IT Support Officer</x:v>
      </x:c>
      <x:c r="L96" s="163" t="str">
        <x:v>G3</x:v>
      </x:c>
      <x:c r="M96" s="163" t="str">
        <x:v>Probation</x:v>
      </x:c>
      <x:c r="N96" s="163" t="str">
        <x:v>General</x:v>
      </x:c>
      <x:c r="O96" s="167" t="n">
        <x:v>45409</x:v>
      </x:c>
      <x:c r="P96" s="167" t="str"/>
      <x:c r="Q96" s="163" t="str">
        <x:v>Active</x:v>
      </x:c>
      <x:c r="R96" s="163" t="str">
        <x:v>Yes</x:v>
      </x:c>
      <x:c r="S96" s="163" t="str">
        <x:v>Data BI and HR Technology</x:v>
      </x:c>
      <x:c r="T96" s="163" t="str">
        <x:v>Intermediate</x:v>
      </x:c>
      <x:c r="U96" s="169" t="n">
        <x:v>40500</x:v>
      </x:c>
      <x:c r="V96" s="169" t="n">
        <x:v>7800</x:v>
      </x:c>
      <x:c r="W96" s="169" t="n">
        <x:v>51540</x:v>
      </x:c>
      <x:c r="X96" s="163" t="str">
        <x:v>Pre-2026</x:v>
      </x:c>
      <x:c r="Y96" s="163" t="str">
        <x:v>Yes</x:v>
      </x:c>
      <x:c r="Z96" s="163" t="n">
        <x:f>ROUND((IF(P96="",DATE(2026,12,31),P96)-O96)/30.44,0)</x:f>
        <x:v>32</x:v>
      </x:c>
      <x:c r="AA96" s="169" t="n">
        <x:f>W96*12</x:f>
        <x:v>618480</x:v>
      </x:c>
    </x:row>
    <x:row r="97">
      <x:c r="A97" s="163" t="str">
        <x:v>SG-29026022301</x:v>
      </x:c>
      <x:c r="B97" s="163" t="str">
        <x:v>Tanjila Islam</x:v>
      </x:c>
      <x:c r="C97" s="163" t="str">
        <x:v>Female</x:v>
      </x:c>
      <x:c r="D97" s="163" t="n">
        <x:v>27</x:v>
      </x:c>
      <x:c r="E97" s="163" t="str">
        <x:v>Mymensingh</x:v>
      </x:c>
      <x:c r="F97" s="163" t="str">
        <x:v>SG-004</x:v>
      </x:c>
      <x:c r="G97" s="163" t="str">
        <x:v>Sabia Distribution &amp; Retail Ltd.</x:v>
      </x:c>
      <x:c r="H97" s="163" t="str">
        <x:v>FAC-CT</x:v>
      </x:c>
      <x:c r="I97" s="163" t="str">
        <x:v>290</x:v>
      </x:c>
      <x:c r="J97" s="163" t="str">
        <x:v>Sales Distribution and Service</x:v>
      </x:c>
      <x:c r="K97" s="163" t="str">
        <x:v>Regional Sales Manager</x:v>
      </x:c>
      <x:c r="L97" s="163" t="str">
        <x:v>G6</x:v>
      </x:c>
      <x:c r="M97" s="163" t="str">
        <x:v>Permanent</x:v>
      </x:c>
      <x:c r="N97" s="163" t="str">
        <x:v>General</x:v>
      </x:c>
      <x:c r="O97" s="167" t="n">
        <x:v>44983</x:v>
      </x:c>
      <x:c r="P97" s="167" t="str"/>
      <x:c r="Q97" s="163" t="str">
        <x:v>Active</x:v>
      </x:c>
      <x:c r="R97" s="163" t="str">
        <x:v>No</x:v>
      </x:c>
      <x:c r="S97" s="163" t="str">
        <x:v>Business Operations</x:v>
      </x:c>
      <x:c r="T97" s="163" t="str">
        <x:v>Intermediate</x:v>
      </x:c>
      <x:c r="U97" s="169" t="n">
        <x:v>169000</x:v>
      </x:c>
      <x:c r="V97" s="169" t="n">
        <x:v>27400</x:v>
      </x:c>
      <x:c r="W97" s="169" t="n">
        <x:v>209920</x:v>
      </x:c>
      <x:c r="X97" s="163" t="str">
        <x:v>Pre-2026</x:v>
      </x:c>
      <x:c r="Y97" s="163" t="str">
        <x:v>Yes</x:v>
      </x:c>
      <x:c r="Z97" s="163" t="n">
        <x:f>ROUND((IF(P97="",DATE(2026,12,31),P97)-O97)/30.44,0)</x:f>
        <x:v>46</x:v>
      </x:c>
      <x:c r="AA97" s="169" t="n">
        <x:f>W97*12</x:f>
        <x:v>2519040</x:v>
      </x:c>
    </x:row>
    <x:row r="98">
      <x:c r="A98" s="163" t="str">
        <x:v>SG-29023062202</x:v>
      </x:c>
      <x:c r="B98" s="163" t="str">
        <x:v>Nafisa Kabir</x:v>
      </x:c>
      <x:c r="C98" s="163" t="str">
        <x:v>Female</x:v>
      </x:c>
      <x:c r="D98" s="163" t="n">
        <x:v>32</x:v>
      </x:c>
      <x:c r="E98" s="163" t="str">
        <x:v>Rajshahi</x:v>
      </x:c>
      <x:c r="F98" s="163" t="str">
        <x:v>SG-004</x:v>
      </x:c>
      <x:c r="G98" s="163" t="str">
        <x:v>Sabia Distribution &amp; Retail Ltd.</x:v>
      </x:c>
      <x:c r="H98" s="163" t="str">
        <x:v>FAC-CT</x:v>
      </x:c>
      <x:c r="I98" s="163" t="str">
        <x:v>290</x:v>
      </x:c>
      <x:c r="J98" s="163" t="str">
        <x:v>Sales Distribution and Service</x:v>
      </x:c>
      <x:c r="K98" s="163" t="str">
        <x:v>Warranty Analyst</x:v>
      </x:c>
      <x:c r="L98" s="163" t="str">
        <x:v>G4</x:v>
      </x:c>
      <x:c r="M98" s="163" t="str">
        <x:v>Permanent</x:v>
      </x:c>
      <x:c r="N98" s="163" t="str">
        <x:v>General</x:v>
      </x:c>
      <x:c r="O98" s="167" t="n">
        <x:v>44735</x:v>
      </x:c>
      <x:c r="P98" s="167" t="n">
        <x:v>46073</x:v>
      </x:c>
      <x:c r="Q98" s="163" t="str">
        <x:v>Laid Off</x:v>
      </x:c>
      <x:c r="R98" s="163" t="str">
        <x:v>No</x:v>
      </x:c>
      <x:c r="S98" s="163" t="str">
        <x:v>Business Operations</x:v>
      </x:c>
      <x:c r="T98" s="163" t="str">
        <x:v>Intermediate</x:v>
      </x:c>
      <x:c r="U98" s="169" t="n">
        <x:v>49000</x:v>
      </x:c>
      <x:c r="V98" s="169" t="n">
        <x:v>6700</x:v>
      </x:c>
      <x:c r="W98" s="169" t="n">
        <x:v>59620</x:v>
      </x:c>
      <x:c r="X98" s="163" t="str">
        <x:v>Pre-2026</x:v>
      </x:c>
      <x:c r="Y98" s="163" t="str">
        <x:v>Yes</x:v>
      </x:c>
      <x:c r="Z98" s="163" t="n">
        <x:f>ROUND((IF(P98="",DATE(2026,12,31),P98)-O98)/30.44,0)</x:f>
        <x:v>44</x:v>
      </x:c>
      <x:c r="AA98" s="169" t="n">
        <x:f>W98*12</x:f>
        <x:v>715440</x:v>
      </x:c>
    </x:row>
    <x:row r="99">
      <x:c r="A99" s="163" t="str">
        <x:v>SG-29026052403</x:v>
      </x:c>
      <x:c r="B99" s="163" t="str">
        <x:v>Fahim Jahan</x:v>
      </x:c>
      <x:c r="C99" s="163" t="str">
        <x:v>Male</x:v>
      </x:c>
      <x:c r="D99" s="163" t="n">
        <x:v>28</x:v>
      </x:c>
      <x:c r="E99" s="163" t="str">
        <x:v>Dhaka</x:v>
      </x:c>
      <x:c r="F99" s="163" t="str">
        <x:v>SG-004</x:v>
      </x:c>
      <x:c r="G99" s="163" t="str">
        <x:v>Sabia Distribution &amp; Retail Ltd.</x:v>
      </x:c>
      <x:c r="H99" s="163" t="str">
        <x:v>FAC-CT</x:v>
      </x:c>
      <x:c r="I99" s="163" t="str">
        <x:v>290</x:v>
      </x:c>
      <x:c r="J99" s="163" t="str">
        <x:v>Sales Distribution and Service</x:v>
      </x:c>
      <x:c r="K99" s="163" t="str">
        <x:v>Distribution Executive</x:v>
      </x:c>
      <x:c r="L99" s="163" t="str">
        <x:v>G3</x:v>
      </x:c>
      <x:c r="M99" s="163" t="str">
        <x:v>Probation</x:v>
      </x:c>
      <x:c r="N99" s="163" t="str">
        <x:v>General</x:v>
      </x:c>
      <x:c r="O99" s="167" t="n">
        <x:v>45438</x:v>
      </x:c>
      <x:c r="P99" s="167" t="n">
        <x:v>46269</x:v>
      </x:c>
      <x:c r="Q99" s="163" t="str">
        <x:v>Exited</x:v>
      </x:c>
      <x:c r="R99" s="163" t="str">
        <x:v>No</x:v>
      </x:c>
      <x:c r="S99" s="163" t="str">
        <x:v>Business Operations</x:v>
      </x:c>
      <x:c r="T99" s="163" t="str">
        <x:v>Advanced</x:v>
      </x:c>
      <x:c r="U99" s="169" t="n">
        <x:v>30500</x:v>
      </x:c>
      <x:c r="V99" s="169" t="n">
        <x:v>6700</x:v>
      </x:c>
      <x:c r="W99" s="169" t="n">
        <x:v>39640</x:v>
      </x:c>
      <x:c r="X99" s="163" t="str">
        <x:v>Pre-2026</x:v>
      </x:c>
      <x:c r="Y99" s="163" t="str">
        <x:v>Yes</x:v>
      </x:c>
      <x:c r="Z99" s="163" t="n">
        <x:f>ROUND((IF(P99="",DATE(2026,12,31),P99)-O99)/30.44,0)</x:f>
        <x:v>27</x:v>
      </x:c>
      <x:c r="AA99" s="169" t="n">
        <x:f>W99*12</x:f>
        <x:v>475680</x:v>
      </x:c>
    </x:row>
    <x:row r="100">
      <x:c r="A100" s="163" t="str">
        <x:v>SG-29010112404</x:v>
      </x:c>
      <x:c r="B100" s="163" t="str">
        <x:v>Rafi Bari</x:v>
      </x:c>
      <x:c r="C100" s="163" t="str">
        <x:v>Male</x:v>
      </x:c>
      <x:c r="D100" s="163" t="n">
        <x:v>30</x:v>
      </x:c>
      <x:c r="E100" s="163" t="str">
        <x:v>Pabna</x:v>
      </x:c>
      <x:c r="F100" s="163" t="str">
        <x:v>SG-004</x:v>
      </x:c>
      <x:c r="G100" s="163" t="str">
        <x:v>Sabia Distribution &amp; Retail Ltd.</x:v>
      </x:c>
      <x:c r="H100" s="163" t="str">
        <x:v>FAC-CT</x:v>
      </x:c>
      <x:c r="I100" s="163" t="str">
        <x:v>290</x:v>
      </x:c>
      <x:c r="J100" s="163" t="str">
        <x:v>Sales Distribution and Service</x:v>
      </x:c>
      <x:c r="K100" s="163" t="str">
        <x:v>Warranty Analyst</x:v>
      </x:c>
      <x:c r="L100" s="163" t="str">
        <x:v>G4</x:v>
      </x:c>
      <x:c r="M100" s="163" t="str">
        <x:v>Permanent</x:v>
      </x:c>
      <x:c r="N100" s="163" t="str">
        <x:v>General</x:v>
      </x:c>
      <x:c r="O100" s="167" t="n">
        <x:v>45606</x:v>
      </x:c>
      <x:c r="P100" s="167" t="n">
        <x:v>46061</x:v>
      </x:c>
      <x:c r="Q100" s="163" t="str">
        <x:v>Laid Off</x:v>
      </x:c>
      <x:c r="R100" s="163" t="str">
        <x:v>No</x:v>
      </x:c>
      <x:c r="S100" s="163" t="str">
        <x:v>Business Operations</x:v>
      </x:c>
      <x:c r="T100" s="163" t="str">
        <x:v>Intermediate</x:v>
      </x:c>
      <x:c r="U100" s="169" t="n">
        <x:v>49000</x:v>
      </x:c>
      <x:c r="V100" s="169" t="n">
        <x:v>6000</x:v>
      </x:c>
      <x:c r="W100" s="169" t="n">
        <x:v>58920</x:v>
      </x:c>
      <x:c r="X100" s="163" t="str">
        <x:v>Pre-2026</x:v>
      </x:c>
      <x:c r="Y100" s="163" t="str">
        <x:v>Yes</x:v>
      </x:c>
      <x:c r="Z100" s="163" t="n">
        <x:f>ROUND((IF(P100="",DATE(2026,12,31),P100)-O100)/30.44,0)</x:f>
        <x:v>15</x:v>
      </x:c>
      <x:c r="AA100" s="169" t="n">
        <x:f>W100*12</x:f>
        <x:v>707040</x:v>
      </x:c>
    </x:row>
    <x:row r="101">
      <x:c r="A101" s="163" t="str">
        <x:v>SG-30018031801</x:v>
      </x:c>
      <x:c r="B101" s="163" t="str">
        <x:v>Rukaiya Chowdhury</x:v>
      </x:c>
      <x:c r="C101" s="163" t="str">
        <x:v>Female</x:v>
      </x:c>
      <x:c r="D101" s="163" t="n">
        <x:v>34</x:v>
      </x:c>
      <x:c r="E101" s="163" t="str">
        <x:v>Noakhali</x:v>
      </x:c>
      <x:c r="F101" s="163" t="str">
        <x:v>SG-001</x:v>
      </x:c>
      <x:c r="G101" s="163" t="str">
        <x:v>Sabia Smart Devices Ltd.</x:v>
      </x:c>
      <x:c r="H101" s="163" t="str">
        <x:v>FAC-GZ</x:v>
      </x:c>
      <x:c r="I101" s="163" t="str">
        <x:v>300</x:v>
      </x:c>
      <x:c r="J101" s="163" t="str">
        <x:v>EHS and Regulatory Compliance</x:v>
      </x:c>
      <x:c r="K101" s="163" t="str">
        <x:v>Regulatory Affairs Specialist</x:v>
      </x:c>
      <x:c r="L101" s="163" t="str">
        <x:v>G4</x:v>
      </x:c>
      <x:c r="M101" s="163" t="str">
        <x:v>Permanent</x:v>
      </x:c>
      <x:c r="N101" s="163" t="str">
        <x:v>B</x:v>
      </x:c>
      <x:c r="O101" s="167" t="n">
        <x:v>43177</x:v>
      </x:c>
      <x:c r="P101" s="167" t="n">
        <x:v>46065</x:v>
      </x:c>
      <x:c r="Q101" s="163" t="str">
        <x:v>Laid Off</x:v>
      </x:c>
      <x:c r="R101" s="163" t="str">
        <x:v>No</x:v>
      </x:c>
      <x:c r="S101" s="163" t="str">
        <x:v>Business Operations</x:v>
      </x:c>
      <x:c r="T101" s="163" t="str">
        <x:v>Intermediate</x:v>
      </x:c>
      <x:c r="U101" s="169" t="n">
        <x:v>48000</x:v>
      </x:c>
      <x:c r="V101" s="169" t="n">
        <x:v>9700</x:v>
      </x:c>
      <x:c r="W101" s="169" t="n">
        <x:v>61540</x:v>
      </x:c>
      <x:c r="X101" s="163" t="str">
        <x:v>Pre-2026</x:v>
      </x:c>
      <x:c r="Y101" s="163" t="str">
        <x:v>Yes</x:v>
      </x:c>
      <x:c r="Z101" s="163" t="n">
        <x:f>ROUND((IF(P101="",DATE(2026,12,31),P101)-O101)/30.44,0)</x:f>
        <x:v>95</x:v>
      </x:c>
      <x:c r="AA101" s="169" t="n">
        <x:f>W101*12</x:f>
        <x:v>738480</x:v>
      </x:c>
    </x:row>
    <x:row r="102">
      <x:c r="A102" s="163" t="str">
        <x:v>SG-30001092002</x:v>
      </x:c>
      <x:c r="B102" s="163" t="str">
        <x:v>Nabil Hossain</x:v>
      </x:c>
      <x:c r="C102" s="163" t="str">
        <x:v>Male</x:v>
      </x:c>
      <x:c r="D102" s="163" t="n">
        <x:v>27</x:v>
      </x:c>
      <x:c r="E102" s="163" t="str">
        <x:v>Bogura</x:v>
      </x:c>
      <x:c r="F102" s="163" t="str">
        <x:v>SG-001</x:v>
      </x:c>
      <x:c r="G102" s="163" t="str">
        <x:v>Sabia Smart Devices Ltd.</x:v>
      </x:c>
      <x:c r="H102" s="163" t="str">
        <x:v>FAC-GZ</x:v>
      </x:c>
      <x:c r="I102" s="163" t="str">
        <x:v>300</x:v>
      </x:c>
      <x:c r="J102" s="163" t="str">
        <x:v>EHS and Regulatory Compliance</x:v>
      </x:c>
      <x:c r="K102" s="163" t="str">
        <x:v>EHS Officer</x:v>
      </x:c>
      <x:c r="L102" s="163" t="str">
        <x:v>G3</x:v>
      </x:c>
      <x:c r="M102" s="163" t="str">
        <x:v>Probation</x:v>
      </x:c>
      <x:c r="N102" s="163" t="str">
        <x:v>B</x:v>
      </x:c>
      <x:c r="O102" s="167" t="n">
        <x:v>44075</x:v>
      </x:c>
      <x:c r="P102" s="167" t="n">
        <x:v>46070</x:v>
      </x:c>
      <x:c r="Q102" s="163" t="str">
        <x:v>Laid Off</x:v>
      </x:c>
      <x:c r="R102" s="163" t="str">
        <x:v>No</x:v>
      </x:c>
      <x:c r="S102" s="163" t="str">
        <x:v>Business Operations</x:v>
      </x:c>
      <x:c r="T102" s="163" t="str">
        <x:v>Certified</x:v>
      </x:c>
      <x:c r="U102" s="169" t="n">
        <x:v>41000</x:v>
      </x:c>
      <x:c r="V102" s="169" t="n">
        <x:v>5200</x:v>
      </x:c>
      <x:c r="W102" s="169" t="n">
        <x:v>49480</x:v>
      </x:c>
      <x:c r="X102" s="163" t="str">
        <x:v>Pre-2026</x:v>
      </x:c>
      <x:c r="Y102" s="163" t="str">
        <x:v>Yes</x:v>
      </x:c>
      <x:c r="Z102" s="163" t="n">
        <x:f>ROUND((IF(P102="",DATE(2026,12,31),P102)-O102)/30.44,0)</x:f>
        <x:v>66</x:v>
      </x:c>
      <x:c r="AA102" s="169" t="n">
        <x:f>W102*12</x:f>
        <x:v>593760</x:v>
      </x:c>
    </x:row>
    <x:row r="103">
      <x:c r="A103" s="163" t="str">
        <x:v>SG-31029061801</x:v>
      </x:c>
      <x:c r="B103" s="163" t="str">
        <x:v>Mim Uddin</x:v>
      </x:c>
      <x:c r="C103" s="163" t="str">
        <x:v>Female</x:v>
      </x:c>
      <x:c r="D103" s="163" t="n">
        <x:v>39</x:v>
      </x:c>
      <x:c r="E103" s="163" t="str">
        <x:v>Noakhali</x:v>
      </x:c>
      <x:c r="F103" s="163" t="str">
        <x:v>SG-001</x:v>
      </x:c>
      <x:c r="G103" s="163" t="str">
        <x:v>Sabia Smart Devices Ltd.</x:v>
      </x:c>
      <x:c r="H103" s="163" t="str">
        <x:v>FAC-GZ</x:v>
      </x:c>
      <x:c r="I103" s="163" t="str">
        <x:v>310</x:v>
      </x:c>
      <x:c r="J103" s="163" t="str">
        <x:v>Administration and Security</x:v>
      </x:c>
      <x:c r="K103" s="163" t="str">
        <x:v>Security Supervisor</x:v>
      </x:c>
      <x:c r="L103" s="163" t="str">
        <x:v>G3</x:v>
      </x:c>
      <x:c r="M103" s="163" t="str">
        <x:v>Permanent</x:v>
      </x:c>
      <x:c r="N103" s="163" t="str">
        <x:v>General</x:v>
      </x:c>
      <x:c r="O103" s="167" t="n">
        <x:v>43280</x:v>
      </x:c>
      <x:c r="P103" s="167" t="str"/>
      <x:c r="Q103" s="163" t="str">
        <x:v>Active</x:v>
      </x:c>
      <x:c r="R103" s="163" t="str">
        <x:v>No</x:v>
      </x:c>
      <x:c r="S103" s="163" t="str">
        <x:v>Business Operations</x:v>
      </x:c>
      <x:c r="T103" s="163" t="str">
        <x:v>Certified</x:v>
      </x:c>
      <x:c r="U103" s="169" t="n">
        <x:v>35500</x:v>
      </x:c>
      <x:c r="V103" s="169" t="n">
        <x:v>7700</x:v>
      </x:c>
      <x:c r="W103" s="169" t="n">
        <x:v>46040</x:v>
      </x:c>
      <x:c r="X103" s="163" t="str">
        <x:v>Pre-2026</x:v>
      </x:c>
      <x:c r="Y103" s="163" t="str">
        <x:v>Yes</x:v>
      </x:c>
      <x:c r="Z103" s="163" t="n">
        <x:f>ROUND((IF(P103="",DATE(2026,12,31),P103)-O103)/30.44,0)</x:f>
        <x:v>102</x:v>
      </x:c>
      <x:c r="AA103" s="169" t="n">
        <x:f>W103*12</x:f>
        <x:v>552480</x:v>
      </x:c>
    </x:row>
    <x:row r="104">
      <x:c r="A104" s="163" t="str">
        <x:v>SG-31002112302</x:v>
      </x:c>
      <x:c r="B104" s="163" t="str">
        <x:v>Nabila Bari</x:v>
      </x:c>
      <x:c r="C104" s="163" t="str">
        <x:v>Female</x:v>
      </x:c>
      <x:c r="D104" s="163" t="n">
        <x:v>26</x:v>
      </x:c>
      <x:c r="E104" s="163" t="str">
        <x:v>Mymensingh</x:v>
      </x:c>
      <x:c r="F104" s="163" t="str">
        <x:v>SG-001</x:v>
      </x:c>
      <x:c r="G104" s="163" t="str">
        <x:v>Sabia Smart Devices Ltd.</x:v>
      </x:c>
      <x:c r="H104" s="163" t="str">
        <x:v>FAC-GZ</x:v>
      </x:c>
      <x:c r="I104" s="163" t="str">
        <x:v>310</x:v>
      </x:c>
      <x:c r="J104" s="163" t="str">
        <x:v>Administration and Security</x:v>
      </x:c>
      <x:c r="K104" s="163" t="str">
        <x:v>Transport Coordinator</x:v>
      </x:c>
      <x:c r="L104" s="163" t="str">
        <x:v>G2</x:v>
      </x:c>
      <x:c r="M104" s="163" t="str">
        <x:v>Permanent</x:v>
      </x:c>
      <x:c r="N104" s="163" t="str">
        <x:v>General</x:v>
      </x:c>
      <x:c r="O104" s="167" t="n">
        <x:v>45232</x:v>
      </x:c>
      <x:c r="P104" s="167" t="n">
        <x:v>46086</x:v>
      </x:c>
      <x:c r="Q104" s="163" t="str">
        <x:v>Laid Off</x:v>
      </x:c>
      <x:c r="R104" s="163" t="str">
        <x:v>No</x:v>
      </x:c>
      <x:c r="S104" s="163" t="str">
        <x:v>Business Operations</x:v>
      </x:c>
      <x:c r="T104" s="163" t="str">
        <x:v>Entry</x:v>
      </x:c>
      <x:c r="U104" s="169" t="n">
        <x:v>29500</x:v>
      </x:c>
      <x:c r="V104" s="169" t="n">
        <x:v>5400</x:v>
      </x:c>
      <x:c r="W104" s="169" t="n">
        <x:v>37260</x:v>
      </x:c>
      <x:c r="X104" s="163" t="str">
        <x:v>Pre-2026</x:v>
      </x:c>
      <x:c r="Y104" s="163" t="str">
        <x:v>Yes</x:v>
      </x:c>
      <x:c r="Z104" s="163" t="n">
        <x:f>ROUND((IF(P104="",DATE(2026,12,31),P104)-O104)/30.44,0)</x:f>
        <x:v>28</x:v>
      </x:c>
      <x:c r="AA104" s="169" t="n">
        <x:f>W104*12</x:f>
        <x:v>447120</x:v>
      </x:c>
    </x:row>
    <x:row r="105">
      <x:c r="A105" s="163" t="str">
        <x:v>SG-12705012605</x:v>
      </x:c>
      <x:c r="B105" s="163" t="str">
        <x:v>Musa Rahman</x:v>
      </x:c>
      <x:c r="C105" s="163" t="str">
        <x:v>Male</x:v>
      </x:c>
      <x:c r="D105" s="163" t="n">
        <x:v>31</x:v>
      </x:c>
      <x:c r="E105" s="163" t="str">
        <x:v>Natore</x:v>
      </x:c>
      <x:c r="F105" s="163" t="str">
        <x:v>SG-003</x:v>
      </x:c>
      <x:c r="G105" s="163" t="str">
        <x:v>Sabia Digital Services Ltd.</x:v>
      </x:c>
      <x:c r="H105" s="163" t="str">
        <x:v>FAC-HQ</x:v>
      </x:c>
      <x:c r="I105" s="163" t="str">
        <x:v>127</x:v>
      </x:c>
      <x:c r="J105" s="163" t="str">
        <x:v>Human Resources and People</x:v>
      </x:c>
      <x:c r="K105" s="163" t="str">
        <x:v>Head of HR and Acting CHRO / Lead HRBP</x:v>
      </x:c>
      <x:c r="L105" s="163" t="str">
        <x:v>G7</x:v>
      </x:c>
      <x:c r="M105" s="163" t="str">
        <x:v>Probation</x:v>
      </x:c>
      <x:c r="N105" s="163" t="str">
        <x:v>General</x:v>
      </x:c>
      <x:c r="O105" s="167" t="n">
        <x:v>46027</x:v>
      </x:c>
      <x:c r="P105" s="167" t="str"/>
      <x:c r="Q105" s="163" t="str">
        <x:v>Active</x:v>
      </x:c>
      <x:c r="R105" s="163" t="str">
        <x:v>Yes</x:v>
      </x:c>
      <x:c r="S105" s="163" t="str">
        <x:v>People Strategy and HRBP</x:v>
      </x:c>
      <x:c r="T105" s="163" t="str">
        <x:v>Advanced</x:v>
      </x:c>
      <x:c r="U105" s="169" t="n">
        <x:v>248500</x:v>
      </x:c>
      <x:c r="V105" s="169" t="n">
        <x:v>48100</x:v>
      </x:c>
      <x:c r="W105" s="169" t="n">
        <x:v>316480</x:v>
      </x:c>
      <x:c r="X105" s="163" t="str">
        <x:v>Q1</x:v>
      </x:c>
      <x:c r="Y105" s="163" t="str">
        <x:v>Yes</x:v>
      </x:c>
      <x:c r="Z105" s="163" t="n">
        <x:f>ROUND((IF(P105="",DATE(2026,12,31),P105)-O105)/30.44,0)</x:f>
        <x:v>12</x:v>
      </x:c>
      <x:c r="AA105" s="169" t="n">
        <x:f>W105*12</x:f>
        <x:v>3797760</x:v>
      </x:c>
    </x:row>
    <x:row r="106">
      <x:c r="A106" s="163" t="str">
        <x:v>SG-21011052646</x:v>
      </x:c>
      <x:c r="B106" s="163" t="str">
        <x:v>Ayesha Alam</x:v>
      </x:c>
      <x:c r="C106" s="163" t="str">
        <x:v>Female</x:v>
      </x:c>
      <x:c r="D106" s="163" t="n">
        <x:v>31</x:v>
      </x:c>
      <x:c r="E106" s="163" t="str">
        <x:v>Gazipur</x:v>
      </x:c>
      <x:c r="F106" s="163" t="str">
        <x:v>SG-001</x:v>
      </x:c>
      <x:c r="G106" s="163" t="str">
        <x:v>Sabia Smart Devices Ltd.</x:v>
      </x:c>
      <x:c r="H106" s="163" t="str">
        <x:v>FAC-GZ</x:v>
      </x:c>
      <x:c r="I106" s="163" t="str">
        <x:v>210</x:v>
      </x:c>
      <x:c r="J106" s="163" t="str">
        <x:v>Smartwatch Production</x:v>
      </x:c>
      <x:c r="K106" s="163" t="str">
        <x:v>Assembly Operator</x:v>
      </x:c>
      <x:c r="L106" s="163" t="str">
        <x:v>G1</x:v>
      </x:c>
      <x:c r="M106" s="163" t="str">
        <x:v>Permanent</x:v>
      </x:c>
      <x:c r="N106" s="163" t="str">
        <x:v>C</x:v>
      </x:c>
      <x:c r="O106" s="167" t="n">
        <x:v>46153</x:v>
      </x:c>
      <x:c r="P106" s="167" t="str"/>
      <x:c r="Q106" s="163" t="str">
        <x:v>Active</x:v>
      </x:c>
      <x:c r="R106" s="163" t="str">
        <x:v>No</x:v>
      </x:c>
      <x:c r="S106" s="163" t="str">
        <x:v>Precision Assembly</x:v>
      </x:c>
      <x:c r="T106" s="163" t="str">
        <x:v>Certified</x:v>
      </x:c>
      <x:c r="U106" s="169" t="n">
        <x:v>16500</x:v>
      </x:c>
      <x:c r="V106" s="169" t="n">
        <x:v>3600</x:v>
      </x:c>
      <x:c r="W106" s="169" t="n">
        <x:v>21420</x:v>
      </x:c>
      <x:c r="X106" s="163" t="str">
        <x:v>Q2</x:v>
      </x:c>
      <x:c r="Y106" s="163" t="str">
        <x:v>Yes</x:v>
      </x:c>
      <x:c r="Z106" s="163" t="n">
        <x:f>ROUND((IF(P106="",DATE(2026,12,31),P106)-O106)/30.44,0)</x:f>
        <x:v>8</x:v>
      </x:c>
      <x:c r="AA106" s="169" t="n">
        <x:f>W106*12</x:f>
        <x:v>257040</x:v>
      </x:c>
    </x:row>
    <x:row r="107">
      <x:c r="A107" s="163" t="str">
        <x:v>SG-21030042647</x:v>
      </x:c>
      <x:c r="B107" s="163" t="str">
        <x:v>Arafat Islam</x:v>
      </x:c>
      <x:c r="C107" s="163" t="str">
        <x:v>Male</x:v>
      </x:c>
      <x:c r="D107" s="163" t="n">
        <x:v>27</x:v>
      </x:c>
      <x:c r="E107" s="163" t="str">
        <x:v>Bogura</x:v>
      </x:c>
      <x:c r="F107" s="163" t="str">
        <x:v>SG-001</x:v>
      </x:c>
      <x:c r="G107" s="163" t="str">
        <x:v>Sabia Smart Devices Ltd.</x:v>
      </x:c>
      <x:c r="H107" s="163" t="str">
        <x:v>FAC-GZ</x:v>
      </x:c>
      <x:c r="I107" s="163" t="str">
        <x:v>210</x:v>
      </x:c>
      <x:c r="J107" s="163" t="str">
        <x:v>Smartwatch Production</x:v>
      </x:c>
      <x:c r="K107" s="163" t="str">
        <x:v>Assembly Operator</x:v>
      </x:c>
      <x:c r="L107" s="163" t="str">
        <x:v>G1</x:v>
      </x:c>
      <x:c r="M107" s="163" t="str">
        <x:v>Permanent</x:v>
      </x:c>
      <x:c r="N107" s="163" t="str">
        <x:v>B</x:v>
      </x:c>
      <x:c r="O107" s="167" t="n">
        <x:v>46142</x:v>
      </x:c>
      <x:c r="P107" s="167" t="str"/>
      <x:c r="Q107" s="163" t="str">
        <x:v>Active</x:v>
      </x:c>
      <x:c r="R107" s="163" t="str">
        <x:v>No</x:v>
      </x:c>
      <x:c r="S107" s="163" t="str">
        <x:v>Precision Assembly</x:v>
      </x:c>
      <x:c r="T107" s="163" t="str">
        <x:v>Intermediate</x:v>
      </x:c>
      <x:c r="U107" s="169" t="n">
        <x:v>17000</x:v>
      </x:c>
      <x:c r="V107" s="169" t="n">
        <x:v>2100</x:v>
      </x:c>
      <x:c r="W107" s="169" t="n">
        <x:v>20460</x:v>
      </x:c>
      <x:c r="X107" s="163" t="str">
        <x:v>Q2</x:v>
      </x:c>
      <x:c r="Y107" s="163" t="str">
        <x:v>Yes</x:v>
      </x:c>
      <x:c r="Z107" s="163" t="n">
        <x:f>ROUND((IF(P107="",DATE(2026,12,31),P107)-O107)/30.44,0)</x:f>
        <x:v>8</x:v>
      </x:c>
      <x:c r="AA107" s="169" t="n">
        <x:f>W107*12</x:f>
        <x:v>245520</x:v>
      </x:c>
    </x:row>
    <x:row r="108">
      <x:c r="A108" s="163" t="str">
        <x:v>SG-21025062648</x:v>
      </x:c>
      <x:c r="B108" s="163" t="str">
        <x:v>Farzana Chowdhury</x:v>
      </x:c>
      <x:c r="C108" s="163" t="str">
        <x:v>Female</x:v>
      </x:c>
      <x:c r="D108" s="163" t="n">
        <x:v>35</x:v>
      </x:c>
      <x:c r="E108" s="163" t="str">
        <x:v>Tangail</x:v>
      </x:c>
      <x:c r="F108" s="163" t="str">
        <x:v>SG-001</x:v>
      </x:c>
      <x:c r="G108" s="163" t="str">
        <x:v>Sabia Smart Devices Ltd.</x:v>
      </x:c>
      <x:c r="H108" s="163" t="str">
        <x:v>FAC-GZ</x:v>
      </x:c>
      <x:c r="I108" s="163" t="str">
        <x:v>210</x:v>
      </x:c>
      <x:c r="J108" s="163" t="str">
        <x:v>Smartwatch Production</x:v>
      </x:c>
      <x:c r="K108" s="163" t="str">
        <x:v>SMT Line Technician</x:v>
      </x:c>
      <x:c r="L108" s="163" t="str">
        <x:v>G2</x:v>
      </x:c>
      <x:c r="M108" s="163" t="str">
        <x:v>Permanent</x:v>
      </x:c>
      <x:c r="N108" s="163" t="str">
        <x:v>B</x:v>
      </x:c>
      <x:c r="O108" s="167" t="n">
        <x:v>46198</x:v>
      </x:c>
      <x:c r="P108" s="167" t="str"/>
      <x:c r="Q108" s="163" t="str">
        <x:v>Active</x:v>
      </x:c>
      <x:c r="R108" s="163" t="str">
        <x:v>Yes</x:v>
      </x:c>
      <x:c r="S108" s="163" t="str">
        <x:v>Precision Assembly</x:v>
      </x:c>
      <x:c r="T108" s="163" t="str">
        <x:v>Entry</x:v>
      </x:c>
      <x:c r="U108" s="169" t="n">
        <x:v>31500</x:v>
      </x:c>
      <x:c r="V108" s="169" t="n">
        <x:v>4500</x:v>
      </x:c>
      <x:c r="W108" s="169" t="n">
        <x:v>38520</x:v>
      </x:c>
      <x:c r="X108" s="163" t="str">
        <x:v>Q2</x:v>
      </x:c>
      <x:c r="Y108" s="163" t="str">
        <x:v>Yes</x:v>
      </x:c>
      <x:c r="Z108" s="163" t="n">
        <x:f>ROUND((IF(P108="",DATE(2026,12,31),P108)-O108)/30.44,0)</x:f>
        <x:v>6</x:v>
      </x:c>
      <x:c r="AA108" s="169" t="n">
        <x:f>W108*12</x:f>
        <x:v>462240</x:v>
      </x:c>
    </x:row>
    <x:row r="109">
      <x:c r="A109" s="163" t="str">
        <x:v>SG-21012052649</x:v>
      </x:c>
      <x:c r="B109" s="163" t="str">
        <x:v>Arafat Jahan</x:v>
      </x:c>
      <x:c r="C109" s="163" t="str">
        <x:v>Male</x:v>
      </x:c>
      <x:c r="D109" s="163" t="n">
        <x:v>29</x:v>
      </x:c>
      <x:c r="E109" s="163" t="str">
        <x:v>Kushtia</x:v>
      </x:c>
      <x:c r="F109" s="163" t="str">
        <x:v>SG-001</x:v>
      </x:c>
      <x:c r="G109" s="163" t="str">
        <x:v>Sabia Smart Devices Ltd.</x:v>
      </x:c>
      <x:c r="H109" s="163" t="str">
        <x:v>FAC-GZ</x:v>
      </x:c>
      <x:c r="I109" s="163" t="str">
        <x:v>210</x:v>
      </x:c>
      <x:c r="J109" s="163" t="str">
        <x:v>Smartwatch Production</x:v>
      </x:c>
      <x:c r="K109" s="163" t="str">
        <x:v>Precision Assembly Technician</x:v>
      </x:c>
      <x:c r="L109" s="163" t="str">
        <x:v>G2</x:v>
      </x:c>
      <x:c r="M109" s="163" t="str">
        <x:v>Permanent</x:v>
      </x:c>
      <x:c r="N109" s="163" t="str">
        <x:v>B</x:v>
      </x:c>
      <x:c r="O109" s="167" t="n">
        <x:v>46154</x:v>
      </x:c>
      <x:c r="P109" s="167" t="str"/>
      <x:c r="Q109" s="163" t="str">
        <x:v>Active</x:v>
      </x:c>
      <x:c r="R109" s="163" t="str">
        <x:v>Yes</x:v>
      </x:c>
      <x:c r="S109" s="163" t="str">
        <x:v>Precision Assembly</x:v>
      </x:c>
      <x:c r="T109" s="163" t="str">
        <x:v>Entry</x:v>
      </x:c>
      <x:c r="U109" s="169" t="n">
        <x:v>26000</x:v>
      </x:c>
      <x:c r="V109" s="169" t="n">
        <x:v>6200</x:v>
      </x:c>
      <x:c r="W109" s="169" t="n">
        <x:v>34280</x:v>
      </x:c>
      <x:c r="X109" s="163" t="str">
        <x:v>Q2</x:v>
      </x:c>
      <x:c r="Y109" s="163" t="str">
        <x:v>Yes</x:v>
      </x:c>
      <x:c r="Z109" s="163" t="n">
        <x:f>ROUND((IF(P109="",DATE(2026,12,31),P109)-O109)/30.44,0)</x:f>
        <x:v>8</x:v>
      </x:c>
      <x:c r="AA109" s="169" t="n">
        <x:f>W109*12</x:f>
        <x:v>411360</x:v>
      </x:c>
    </x:row>
    <x:row r="110">
      <x:c r="A110" s="163" t="str">
        <x:v>SG-21004042650</x:v>
      </x:c>
      <x:c r="B110" s="163" t="str">
        <x:v>Shahriar Jahan</x:v>
      </x:c>
      <x:c r="C110" s="163" t="str">
        <x:v>Male</x:v>
      </x:c>
      <x:c r="D110" s="163" t="n">
        <x:v>28</x:v>
      </x:c>
      <x:c r="E110" s="163" t="str">
        <x:v>Tangail</x:v>
      </x:c>
      <x:c r="F110" s="163" t="str">
        <x:v>SG-001</x:v>
      </x:c>
      <x:c r="G110" s="163" t="str">
        <x:v>Sabia Smart Devices Ltd.</x:v>
      </x:c>
      <x:c r="H110" s="163" t="str">
        <x:v>FAC-GZ</x:v>
      </x:c>
      <x:c r="I110" s="163" t="str">
        <x:v>210</x:v>
      </x:c>
      <x:c r="J110" s="163" t="str">
        <x:v>Smartwatch Production</x:v>
      </x:c>
      <x:c r="K110" s="163" t="str">
        <x:v>Assembly Operator</x:v>
      </x:c>
      <x:c r="L110" s="163" t="str">
        <x:v>G1</x:v>
      </x:c>
      <x:c r="M110" s="163" t="str">
        <x:v>Permanent</x:v>
      </x:c>
      <x:c r="N110" s="163" t="str">
        <x:v>B</x:v>
      </x:c>
      <x:c r="O110" s="167" t="n">
        <x:v>46116</x:v>
      </x:c>
      <x:c r="P110" s="167" t="str"/>
      <x:c r="Q110" s="163" t="str">
        <x:v>Active</x:v>
      </x:c>
      <x:c r="R110" s="163" t="str">
        <x:v>No</x:v>
      </x:c>
      <x:c r="S110" s="163" t="str">
        <x:v>Precision Assembly</x:v>
      </x:c>
      <x:c r="T110" s="163" t="str">
        <x:v>Entry</x:v>
      </x:c>
      <x:c r="U110" s="169" t="n">
        <x:v>18500</x:v>
      </x:c>
      <x:c r="V110" s="169" t="n">
        <x:v>3800</x:v>
      </x:c>
      <x:c r="W110" s="169" t="n">
        <x:v>23780</x:v>
      </x:c>
      <x:c r="X110" s="163" t="str">
        <x:v>Q2</x:v>
      </x:c>
      <x:c r="Y110" s="163" t="str">
        <x:v>Yes</x:v>
      </x:c>
      <x:c r="Z110" s="163" t="n">
        <x:f>ROUND((IF(P110="",DATE(2026,12,31),P110)-O110)/30.44,0)</x:f>
        <x:v>9</x:v>
      </x:c>
      <x:c r="AA110" s="169" t="n">
        <x:f>W110*12</x:f>
        <x:v>285360</x:v>
      </x:c>
    </x:row>
    <x:row r="111">
      <x:c r="A111" s="163" t="str">
        <x:v>SG-21001052651</x:v>
      </x:c>
      <x:c r="B111" s="163" t="str">
        <x:v>Sabrina Kabir</x:v>
      </x:c>
      <x:c r="C111" s="163" t="str">
        <x:v>Female</x:v>
      </x:c>
      <x:c r="D111" s="163" t="n">
        <x:v>38</x:v>
      </x:c>
      <x:c r="E111" s="163" t="str">
        <x:v>Jashore</x:v>
      </x:c>
      <x:c r="F111" s="163" t="str">
        <x:v>SG-001</x:v>
      </x:c>
      <x:c r="G111" s="163" t="str">
        <x:v>Sabia Smart Devices Ltd.</x:v>
      </x:c>
      <x:c r="H111" s="163" t="str">
        <x:v>FAC-GZ</x:v>
      </x:c>
      <x:c r="I111" s="163" t="str">
        <x:v>210</x:v>
      </x:c>
      <x:c r="J111" s="163" t="str">
        <x:v>Smartwatch Production</x:v>
      </x:c>
      <x:c r="K111" s="163" t="str">
        <x:v>Production Manager</x:v>
      </x:c>
      <x:c r="L111" s="163" t="str">
        <x:v>G6</x:v>
      </x:c>
      <x:c r="M111" s="163" t="str">
        <x:v>Permanent</x:v>
      </x:c>
      <x:c r="N111" s="163" t="str">
        <x:v>B</x:v>
      </x:c>
      <x:c r="O111" s="167" t="n">
        <x:v>46143</x:v>
      </x:c>
      <x:c r="P111" s="167" t="str"/>
      <x:c r="Q111" s="163" t="str">
        <x:v>Active</x:v>
      </x:c>
      <x:c r="R111" s="163" t="str">
        <x:v>No</x:v>
      </x:c>
      <x:c r="S111" s="163" t="str">
        <x:v>Precision Assembly</x:v>
      </x:c>
      <x:c r="T111" s="163" t="str">
        <x:v>Certified</x:v>
      </x:c>
      <x:c r="U111" s="169" t="n">
        <x:v>142000</x:v>
      </x:c>
      <x:c r="V111" s="169" t="n">
        <x:v>27700</x:v>
      </x:c>
      <x:c r="W111" s="169" t="n">
        <x:v>181060</x:v>
      </x:c>
      <x:c r="X111" s="163" t="str">
        <x:v>Q2</x:v>
      </x:c>
      <x:c r="Y111" s="163" t="str">
        <x:v>Yes</x:v>
      </x:c>
      <x:c r="Z111" s="163" t="n">
        <x:f>ROUND((IF(P111="",DATE(2026,12,31),P111)-O111)/30.44,0)</x:f>
        <x:v>8</x:v>
      </x:c>
      <x:c r="AA111" s="169" t="n">
        <x:f>W111*12</x:f>
        <x:v>2172720</x:v>
      </x:c>
    </x:row>
    <x:row r="112">
      <x:c r="A112" s="163" t="str">
        <x:v>SG-21011062652</x:v>
      </x:c>
      <x:c r="B112" s="163" t="str">
        <x:v>Saif Uddin</x:v>
      </x:c>
      <x:c r="C112" s="163" t="str">
        <x:v>Male</x:v>
      </x:c>
      <x:c r="D112" s="163" t="n">
        <x:v>31</x:v>
      </x:c>
      <x:c r="E112" s="163" t="str">
        <x:v>Narayanganj</x:v>
      </x:c>
      <x:c r="F112" s="163" t="str">
        <x:v>SG-001</x:v>
      </x:c>
      <x:c r="G112" s="163" t="str">
        <x:v>Sabia Smart Devices Ltd.</x:v>
      </x:c>
      <x:c r="H112" s="163" t="str">
        <x:v>FAC-GZ</x:v>
      </x:c>
      <x:c r="I112" s="163" t="str">
        <x:v>210</x:v>
      </x:c>
      <x:c r="J112" s="163" t="str">
        <x:v>Smartwatch Production</x:v>
      </x:c>
      <x:c r="K112" s="163" t="str">
        <x:v>Precision Assembly Technician</x:v>
      </x:c>
      <x:c r="L112" s="163" t="str">
        <x:v>G2</x:v>
      </x:c>
      <x:c r="M112" s="163" t="str">
        <x:v>Contract</x:v>
      </x:c>
      <x:c r="N112" s="163" t="str">
        <x:v>B</x:v>
      </x:c>
      <x:c r="O112" s="167" t="n">
        <x:v>46184</x:v>
      </x:c>
      <x:c r="P112" s="167" t="str"/>
      <x:c r="Q112" s="163" t="str">
        <x:v>Active</x:v>
      </x:c>
      <x:c r="R112" s="163" t="str">
        <x:v>Yes</x:v>
      </x:c>
      <x:c r="S112" s="163" t="str">
        <x:v>Precision Assembly</x:v>
      </x:c>
      <x:c r="T112" s="163" t="str">
        <x:v>Certified</x:v>
      </x:c>
      <x:c r="U112" s="169" t="n">
        <x:v>23000</x:v>
      </x:c>
      <x:c r="V112" s="169" t="n">
        <x:v>5900</x:v>
      </x:c>
      <x:c r="W112" s="169" t="n">
        <x:v>30740</x:v>
      </x:c>
      <x:c r="X112" s="163" t="str">
        <x:v>Q2</x:v>
      </x:c>
      <x:c r="Y112" s="163" t="str">
        <x:v>Yes</x:v>
      </x:c>
      <x:c r="Z112" s="163" t="n">
        <x:f>ROUND((IF(P112="",DATE(2026,12,31),P112)-O112)/30.44,0)</x:f>
        <x:v>7</x:v>
      </x:c>
      <x:c r="AA112" s="169" t="n">
        <x:f>W112*12</x:f>
        <x:v>368880</x:v>
      </x:c>
    </x:row>
    <x:row r="113">
      <x:c r="A113" s="163" t="str">
        <x:v>SG-21017062653</x:v>
      </x:c>
      <x:c r="B113" s="163" t="str">
        <x:v>Tamim Kabir</x:v>
      </x:c>
      <x:c r="C113" s="163" t="str">
        <x:v>Male</x:v>
      </x:c>
      <x:c r="D113" s="163" t="n">
        <x:v>33</x:v>
      </x:c>
      <x:c r="E113" s="163" t="str">
        <x:v>Rajshahi</x:v>
      </x:c>
      <x:c r="F113" s="163" t="str">
        <x:v>SG-001</x:v>
      </x:c>
      <x:c r="G113" s="163" t="str">
        <x:v>Sabia Smart Devices Ltd.</x:v>
      </x:c>
      <x:c r="H113" s="163" t="str">
        <x:v>FAC-GZ</x:v>
      </x:c>
      <x:c r="I113" s="163" t="str">
        <x:v>210</x:v>
      </x:c>
      <x:c r="J113" s="163" t="str">
        <x:v>Smartwatch Production</x:v>
      </x:c>
      <x:c r="K113" s="163" t="str">
        <x:v>Precision Assembly Technician</x:v>
      </x:c>
      <x:c r="L113" s="163" t="str">
        <x:v>G2</x:v>
      </x:c>
      <x:c r="M113" s="163" t="str">
        <x:v>Probation</x:v>
      </x:c>
      <x:c r="N113" s="163" t="str">
        <x:v>B</x:v>
      </x:c>
      <x:c r="O113" s="167" t="n">
        <x:v>46190</x:v>
      </x:c>
      <x:c r="P113" s="167" t="str"/>
      <x:c r="Q113" s="163" t="str">
        <x:v>Active</x:v>
      </x:c>
      <x:c r="R113" s="163" t="str">
        <x:v>Yes</x:v>
      </x:c>
      <x:c r="S113" s="163" t="str">
        <x:v>Precision Assembly</x:v>
      </x:c>
      <x:c r="T113" s="163" t="str">
        <x:v>Intermediate</x:v>
      </x:c>
      <x:c r="U113" s="169" t="n">
        <x:v>26000</x:v>
      </x:c>
      <x:c r="V113" s="169" t="n">
        <x:v>6000</x:v>
      </x:c>
      <x:c r="W113" s="169" t="n">
        <x:v>34080</x:v>
      </x:c>
      <x:c r="X113" s="163" t="str">
        <x:v>Q2</x:v>
      </x:c>
      <x:c r="Y113" s="163" t="str">
        <x:v>Yes</x:v>
      </x:c>
      <x:c r="Z113" s="163" t="n">
        <x:f>ROUND((IF(P113="",DATE(2026,12,31),P113)-O113)/30.44,0)</x:f>
        <x:v>6</x:v>
      </x:c>
      <x:c r="AA113" s="169" t="n">
        <x:f>W113*12</x:f>
        <x:v>408960</x:v>
      </x:c>
    </x:row>
    <x:row r="114">
      <x:c r="A114" s="163" t="str">
        <x:v>SG-22027062611</x:v>
      </x:c>
      <x:c r="B114" s="163" t="str">
        <x:v>Mahmud Islam</x:v>
      </x:c>
      <x:c r="C114" s="163" t="str">
        <x:v>Male</x:v>
      </x:c>
      <x:c r="D114" s="163" t="n">
        <x:v>26</x:v>
      </x:c>
      <x:c r="E114" s="163" t="str">
        <x:v>Noakhali</x:v>
      </x:c>
      <x:c r="F114" s="163" t="str">
        <x:v>SG-001</x:v>
      </x:c>
      <x:c r="G114" s="163" t="str">
        <x:v>Sabia Smart Devices Ltd.</x:v>
      </x:c>
      <x:c r="H114" s="163" t="str">
        <x:v>FAC-GZ</x:v>
      </x:c>
      <x:c r="I114" s="163" t="str">
        <x:v>220</x:v>
      </x:c>
      <x:c r="J114" s="163" t="str">
        <x:v>Quality Assurance</x:v>
      </x:c>
      <x:c r="K114" s="163" t="str">
        <x:v>Quality Technician</x:v>
      </x:c>
      <x:c r="L114" s="163" t="str">
        <x:v>G3</x:v>
      </x:c>
      <x:c r="M114" s="163" t="str">
        <x:v>Permanent</x:v>
      </x:c>
      <x:c r="N114" s="163" t="str">
        <x:v>A</x:v>
      </x:c>
      <x:c r="O114" s="167" t="n">
        <x:v>46200</x:v>
      </x:c>
      <x:c r="P114" s="167" t="str"/>
      <x:c r="Q114" s="163" t="str">
        <x:v>Active</x:v>
      </x:c>
      <x:c r="R114" s="163" t="str">
        <x:v>Yes</x:v>
      </x:c>
      <x:c r="S114" s="163" t="str">
        <x:v>Quality at Source</x:v>
      </x:c>
      <x:c r="T114" s="163" t="str">
        <x:v>Certified</x:v>
      </x:c>
      <x:c r="U114" s="169" t="n">
        <x:v>33500</x:v>
      </x:c>
      <x:c r="V114" s="169" t="n">
        <x:v>4600</x:v>
      </x:c>
      <x:c r="W114" s="169" t="n">
        <x:v>40780</x:v>
      </x:c>
      <x:c r="X114" s="163" t="str">
        <x:v>Q2</x:v>
      </x:c>
      <x:c r="Y114" s="163" t="str">
        <x:v>Yes</x:v>
      </x:c>
      <x:c r="Z114" s="163" t="n">
        <x:f>ROUND((IF(P114="",DATE(2026,12,31),P114)-O114)/30.44,0)</x:f>
        <x:v>6</x:v>
      </x:c>
      <x:c r="AA114" s="169" t="n">
        <x:f>W114*12</x:f>
        <x:v>489360</x:v>
      </x:c>
    </x:row>
    <x:row r="115">
      <x:c r="A115" s="163" t="str">
        <x:v>SG-22024042612</x:v>
      </x:c>
      <x:c r="B115" s="163" t="str">
        <x:v>Arafat Karim</x:v>
      </x:c>
      <x:c r="C115" s="163" t="str">
        <x:v>Male</x:v>
      </x:c>
      <x:c r="D115" s="163" t="n">
        <x:v>30</x:v>
      </x:c>
      <x:c r="E115" s="163" t="str">
        <x:v>Chattogram</x:v>
      </x:c>
      <x:c r="F115" s="163" t="str">
        <x:v>SG-001</x:v>
      </x:c>
      <x:c r="G115" s="163" t="str">
        <x:v>Sabia Smart Devices Ltd.</x:v>
      </x:c>
      <x:c r="H115" s="163" t="str">
        <x:v>FAC-GZ</x:v>
      </x:c>
      <x:c r="I115" s="163" t="str">
        <x:v>220</x:v>
      </x:c>
      <x:c r="J115" s="163" t="str">
        <x:v>Quality Assurance</x:v>
      </x:c>
      <x:c r="K115" s="163" t="str">
        <x:v>Quality Technician</x:v>
      </x:c>
      <x:c r="L115" s="163" t="str">
        <x:v>G3</x:v>
      </x:c>
      <x:c r="M115" s="163" t="str">
        <x:v>Permanent</x:v>
      </x:c>
      <x:c r="N115" s="163" t="str">
        <x:v>A</x:v>
      </x:c>
      <x:c r="O115" s="167" t="n">
        <x:v>46136</x:v>
      </x:c>
      <x:c r="P115" s="167" t="str"/>
      <x:c r="Q115" s="163" t="str">
        <x:v>Active</x:v>
      </x:c>
      <x:c r="R115" s="163" t="str">
        <x:v>Yes</x:v>
      </x:c>
      <x:c r="S115" s="163" t="str">
        <x:v>Quality at Source</x:v>
      </x:c>
      <x:c r="T115" s="163" t="str">
        <x:v>Entry</x:v>
      </x:c>
      <x:c r="U115" s="169" t="n">
        <x:v>32500</x:v>
      </x:c>
      <x:c r="V115" s="169" t="n">
        <x:v>4400</x:v>
      </x:c>
      <x:c r="W115" s="169" t="n">
        <x:v>39500</x:v>
      </x:c>
      <x:c r="X115" s="163" t="str">
        <x:v>Q2</x:v>
      </x:c>
      <x:c r="Y115" s="163" t="str">
        <x:v>Yes</x:v>
      </x:c>
      <x:c r="Z115" s="163" t="n">
        <x:f>ROUND((IF(P115="",DATE(2026,12,31),P115)-O115)/30.44,0)</x:f>
        <x:v>8</x:v>
      </x:c>
      <x:c r="AA115" s="169" t="n">
        <x:f>W115*12</x:f>
        <x:v>474000</x:v>
      </x:c>
    </x:row>
    <x:row r="116">
      <x:c r="A116" s="163" t="str">
        <x:v>SG-22007052613</x:v>
      </x:c>
      <x:c r="B116" s="163" t="str">
        <x:v>Sabrina Ahmed</x:v>
      </x:c>
      <x:c r="C116" s="163" t="str">
        <x:v>Female</x:v>
      </x:c>
      <x:c r="D116" s="163" t="n">
        <x:v>32</x:v>
      </x:c>
      <x:c r="E116" s="163" t="str">
        <x:v>Mymensingh</x:v>
      </x:c>
      <x:c r="F116" s="163" t="str">
        <x:v>SG-001</x:v>
      </x:c>
      <x:c r="G116" s="163" t="str">
        <x:v>Sabia Smart Devices Ltd.</x:v>
      </x:c>
      <x:c r="H116" s="163" t="str">
        <x:v>FAC-GZ</x:v>
      </x:c>
      <x:c r="I116" s="163" t="str">
        <x:v>220</x:v>
      </x:c>
      <x:c r="J116" s="163" t="str">
        <x:v>Quality Assurance</x:v>
      </x:c>
      <x:c r="K116" s="163" t="str">
        <x:v>Quality Inspector</x:v>
      </x:c>
      <x:c r="L116" s="163" t="str">
        <x:v>G2</x:v>
      </x:c>
      <x:c r="M116" s="163" t="str">
        <x:v>Permanent</x:v>
      </x:c>
      <x:c r="N116" s="163" t="str">
        <x:v>General</x:v>
      </x:c>
      <x:c r="O116" s="167" t="n">
        <x:v>46149</x:v>
      </x:c>
      <x:c r="P116" s="167" t="str"/>
      <x:c r="Q116" s="163" t="str">
        <x:v>Active</x:v>
      </x:c>
      <x:c r="R116" s="163" t="str">
        <x:v>Yes</x:v>
      </x:c>
      <x:c r="S116" s="163" t="str">
        <x:v>Quality at Source</x:v>
      </x:c>
      <x:c r="T116" s="163" t="str">
        <x:v>Intermediate</x:v>
      </x:c>
      <x:c r="U116" s="169" t="n">
        <x:v>26500</x:v>
      </x:c>
      <x:c r="V116" s="169" t="n">
        <x:v>4000</x:v>
      </x:c>
      <x:c r="W116" s="169" t="n">
        <x:v>32620</x:v>
      </x:c>
      <x:c r="X116" s="163" t="str">
        <x:v>Q2</x:v>
      </x:c>
      <x:c r="Y116" s="163" t="str">
        <x:v>Yes</x:v>
      </x:c>
      <x:c r="Z116" s="163" t="n">
        <x:f>ROUND((IF(P116="",DATE(2026,12,31),P116)-O116)/30.44,0)</x:f>
        <x:v>8</x:v>
      </x:c>
      <x:c r="AA116" s="169" t="n">
        <x:f>W116*12</x:f>
        <x:v>391440</x:v>
      </x:c>
    </x:row>
    <x:row r="117">
      <x:c r="A117" s="163" t="str">
        <x:v>SG-23020062609</x:v>
      </x:c>
      <x:c r="B117" s="163" t="str">
        <x:v>Aminul Akter</x:v>
      </x:c>
      <x:c r="C117" s="163" t="str">
        <x:v>Male</x:v>
      </x:c>
      <x:c r="D117" s="163" t="n">
        <x:v>34</x:v>
      </x:c>
      <x:c r="E117" s="163" t="str">
        <x:v>Chattogram</x:v>
      </x:c>
      <x:c r="F117" s="163" t="str">
        <x:v>SG-001</x:v>
      </x:c>
      <x:c r="G117" s="163" t="str">
        <x:v>Sabia Smart Devices Ltd.</x:v>
      </x:c>
      <x:c r="H117" s="163" t="str">
        <x:v>FAC-GZ</x:v>
      </x:c>
      <x:c r="I117" s="163" t="str">
        <x:v>230</x:v>
      </x:c>
      <x:c r="J117" s="163" t="str">
        <x:v>Engineering and Maintenance</x:v>
      </x:c>
      <x:c r="K117" s="163" t="str">
        <x:v>Industrial Engineer</x:v>
      </x:c>
      <x:c r="L117" s="163" t="str">
        <x:v>G4</x:v>
      </x:c>
      <x:c r="M117" s="163" t="str">
        <x:v>Permanent</x:v>
      </x:c>
      <x:c r="N117" s="163" t="str">
        <x:v>A</x:v>
      </x:c>
      <x:c r="O117" s="167" t="n">
        <x:v>46193</x:v>
      </x:c>
      <x:c r="P117" s="167" t="str"/>
      <x:c r="Q117" s="163" t="str">
        <x:v>Active</x:v>
      </x:c>
      <x:c r="R117" s="163" t="str">
        <x:v>Yes</x:v>
      </x:c>
      <x:c r="S117" s="163" t="str">
        <x:v>Automation and Maintenance</x:v>
      </x:c>
      <x:c r="T117" s="163" t="str">
        <x:v>Intermediate</x:v>
      </x:c>
      <x:c r="U117" s="169" t="n">
        <x:v>63000</x:v>
      </x:c>
      <x:c r="V117" s="169" t="n">
        <x:v>16200</x:v>
      </x:c>
      <x:c r="W117" s="169" t="n">
        <x:v>84240</x:v>
      </x:c>
      <x:c r="X117" s="163" t="str">
        <x:v>Q2</x:v>
      </x:c>
      <x:c r="Y117" s="163" t="str">
        <x:v>Yes</x:v>
      </x:c>
      <x:c r="Z117" s="163" t="n">
        <x:f>ROUND((IF(P117="",DATE(2026,12,31),P117)-O117)/30.44,0)</x:f>
        <x:v>6</x:v>
      </x:c>
      <x:c r="AA117" s="169" t="n">
        <x:f>W117*12</x:f>
        <x:v>1010880</x:v>
      </x:c>
    </x:row>
    <x:row r="118">
      <x:c r="A118" s="163" t="str">
        <x:v>SG-23003042610</x:v>
      </x:c>
      <x:c r="B118" s="163" t="str">
        <x:v>Siam Akter</x:v>
      </x:c>
      <x:c r="C118" s="163" t="str">
        <x:v>Male</x:v>
      </x:c>
      <x:c r="D118" s="163" t="n">
        <x:v>30</x:v>
      </x:c>
      <x:c r="E118" s="163" t="str">
        <x:v>Brahmanbaria</x:v>
      </x:c>
      <x:c r="F118" s="163" t="str">
        <x:v>SG-001</x:v>
      </x:c>
      <x:c r="G118" s="163" t="str">
        <x:v>Sabia Smart Devices Ltd.</x:v>
      </x:c>
      <x:c r="H118" s="163" t="str">
        <x:v>FAC-GZ</x:v>
      </x:c>
      <x:c r="I118" s="163" t="str">
        <x:v>230</x:v>
      </x:c>
      <x:c r="J118" s="163" t="str">
        <x:v>Engineering and Maintenance</x:v>
      </x:c>
      <x:c r="K118" s="163" t="str">
        <x:v>Maintenance Engineer</x:v>
      </x:c>
      <x:c r="L118" s="163" t="str">
        <x:v>G4</x:v>
      </x:c>
      <x:c r="M118" s="163" t="str">
        <x:v>Permanent</x:v>
      </x:c>
      <x:c r="N118" s="163" t="str">
        <x:v>A</x:v>
      </x:c>
      <x:c r="O118" s="167" t="n">
        <x:v>46115</x:v>
      </x:c>
      <x:c r="P118" s="167" t="str"/>
      <x:c r="Q118" s="163" t="str">
        <x:v>Active</x:v>
      </x:c>
      <x:c r="R118" s="163" t="str">
        <x:v>Yes</x:v>
      </x:c>
      <x:c r="S118" s="163" t="str">
        <x:v>Automation and Maintenance</x:v>
      </x:c>
      <x:c r="T118" s="163" t="str">
        <x:v>Intermediate</x:v>
      </x:c>
      <x:c r="U118" s="169" t="n">
        <x:v>56000</x:v>
      </x:c>
      <x:c r="V118" s="169" t="n">
        <x:v>13600</x:v>
      </x:c>
      <x:c r="W118" s="169" t="n">
        <x:v>74080</x:v>
      </x:c>
      <x:c r="X118" s="163" t="str">
        <x:v>Q2</x:v>
      </x:c>
      <x:c r="Y118" s="163" t="str">
        <x:v>Yes</x:v>
      </x:c>
      <x:c r="Z118" s="163" t="n">
        <x:f>ROUND((IF(P118="",DATE(2026,12,31),P118)-O118)/30.44,0)</x:f>
        <x:v>9</x:v>
      </x:c>
      <x:c r="AA118" s="169" t="n">
        <x:f>W118*12</x:f>
        <x:v>888960</x:v>
      </x:c>
    </x:row>
    <x:row r="119">
      <x:c r="A119" s="163" t="str">
        <x:v>SG-24005052608</x:v>
      </x:c>
      <x:c r="B119" s="163" t="str">
        <x:v>Saif Islam</x:v>
      </x:c>
      <x:c r="C119" s="163" t="str">
        <x:v>Male</x:v>
      </x:c>
      <x:c r="D119" s="163" t="n">
        <x:v>33</x:v>
      </x:c>
      <x:c r="E119" s="163" t="str">
        <x:v>Dhaka</x:v>
      </x:c>
      <x:c r="F119" s="163" t="str">
        <x:v>SG-003</x:v>
      </x:c>
      <x:c r="G119" s="163" t="str">
        <x:v>Sabia Digital Services Ltd.</x:v>
      </x:c>
      <x:c r="H119" s="163" t="str">
        <x:v>FAC-HQ</x:v>
      </x:c>
      <x:c r="I119" s="163" t="str">
        <x:v>240</x:v>
      </x:c>
      <x:c r="J119" s="163" t="str">
        <x:v>Research and Development</x:v>
      </x:c>
      <x:c r="K119" s="163" t="str">
        <x:v>Firmware Engineer</x:v>
      </x:c>
      <x:c r="L119" s="163" t="str">
        <x:v>G5</x:v>
      </x:c>
      <x:c r="M119" s="163" t="str">
        <x:v>Permanent</x:v>
      </x:c>
      <x:c r="N119" s="163" t="str">
        <x:v>General</x:v>
      </x:c>
      <x:c r="O119" s="167" t="n">
        <x:v>46147</x:v>
      </x:c>
      <x:c r="P119" s="167" t="str"/>
      <x:c r="Q119" s="163" t="str">
        <x:v>Active</x:v>
      </x:c>
      <x:c r="R119" s="163" t="str">
        <x:v>Yes</x:v>
      </x:c>
      <x:c r="S119" s="163" t="str">
        <x:v>Embedded Systems and IoT</x:v>
      </x:c>
      <x:c r="T119" s="163" t="str">
        <x:v>Certified</x:v>
      </x:c>
      <x:c r="U119" s="169" t="n">
        <x:v>79500</x:v>
      </x:c>
      <x:c r="V119" s="169" t="n">
        <x:v>20000</x:v>
      </x:c>
      <x:c r="W119" s="169" t="n">
        <x:v>105860</x:v>
      </x:c>
      <x:c r="X119" s="163" t="str">
        <x:v>Q2</x:v>
      </x:c>
      <x:c r="Y119" s="163" t="str">
        <x:v>Yes</x:v>
      </x:c>
      <x:c r="Z119" s="163" t="n">
        <x:f>ROUND((IF(P119="",DATE(2026,12,31),P119)-O119)/30.44,0)</x:f>
        <x:v>8</x:v>
      </x:c>
      <x:c r="AA119" s="169" t="n">
        <x:f>W119*12</x:f>
        <x:v>1270320</x:v>
      </x:c>
    </x:row>
    <x:row r="120">
      <x:c r="A120" s="163" t="str">
        <x:v>SG-24027062609</x:v>
      </x:c>
      <x:c r="B120" s="163" t="str">
        <x:v>Mim Uddin</x:v>
      </x:c>
      <x:c r="C120" s="163" t="str">
        <x:v>Female</x:v>
      </x:c>
      <x:c r="D120" s="163" t="n">
        <x:v>39</x:v>
      </x:c>
      <x:c r="E120" s="163" t="str">
        <x:v>Tangail</x:v>
      </x:c>
      <x:c r="F120" s="163" t="str">
        <x:v>SG-003</x:v>
      </x:c>
      <x:c r="G120" s="163" t="str">
        <x:v>Sabia Digital Services Ltd.</x:v>
      </x:c>
      <x:c r="H120" s="163" t="str">
        <x:v>FAC-HQ</x:v>
      </x:c>
      <x:c r="I120" s="163" t="str">
        <x:v>240</x:v>
      </x:c>
      <x:c r="J120" s="163" t="str">
        <x:v>Research and Development</x:v>
      </x:c>
      <x:c r="K120" s="163" t="str">
        <x:v>R&amp;D Manager</x:v>
      </x:c>
      <x:c r="L120" s="163" t="str">
        <x:v>G6</x:v>
      </x:c>
      <x:c r="M120" s="163" t="str">
        <x:v>Permanent</x:v>
      </x:c>
      <x:c r="N120" s="163" t="str">
        <x:v>General</x:v>
      </x:c>
      <x:c r="O120" s="167" t="n">
        <x:v>46200</x:v>
      </x:c>
      <x:c r="P120" s="167" t="str"/>
      <x:c r="Q120" s="163" t="str">
        <x:v>Active</x:v>
      </x:c>
      <x:c r="R120" s="163" t="str">
        <x:v>Yes</x:v>
      </x:c>
      <x:c r="S120" s="163" t="str">
        <x:v>Embedded Systems and IoT</x:v>
      </x:c>
      <x:c r="T120" s="163" t="str">
        <x:v>Certified</x:v>
      </x:c>
      <x:c r="U120" s="169" t="n">
        <x:v>111000</x:v>
      </x:c>
      <x:c r="V120" s="169" t="n">
        <x:v>24200</x:v>
      </x:c>
      <x:c r="W120" s="169" t="n">
        <x:v>144080</x:v>
      </x:c>
      <x:c r="X120" s="163" t="str">
        <x:v>Q2</x:v>
      </x:c>
      <x:c r="Y120" s="163" t="str">
        <x:v>Yes</x:v>
      </x:c>
      <x:c r="Z120" s="163" t="n">
        <x:f>ROUND((IF(P120="",DATE(2026,12,31),P120)-O120)/30.44,0)</x:f>
        <x:v>6</x:v>
      </x:c>
      <x:c r="AA120" s="169" t="n">
        <x:f>W120*12</x:f>
        <x:v>1728960</x:v>
      </x:c>
    </x:row>
    <x:row r="121">
      <x:c r="A121" s="163" t="str">
        <x:v>SG-28021062605</x:v>
      </x:c>
      <x:c r="B121" s="163" t="str">
        <x:v>Shakil Hossain</x:v>
      </x:c>
      <x:c r="C121" s="163" t="str">
        <x:v>Male</x:v>
      </x:c>
      <x:c r="D121" s="163" t="n">
        <x:v>38</x:v>
      </x:c>
      <x:c r="E121" s="163" t="str">
        <x:v>Pabna</x:v>
      </x:c>
      <x:c r="F121" s="163" t="str">
        <x:v>SG-003</x:v>
      </x:c>
      <x:c r="G121" s="163" t="str">
        <x:v>Sabia Digital Services Ltd.</x:v>
      </x:c>
      <x:c r="H121" s="163" t="str">
        <x:v>FAC-HQ</x:v>
      </x:c>
      <x:c r="I121" s="163" t="str">
        <x:v>280</x:v>
      </x:c>
      <x:c r="J121" s="163" t="str">
        <x:v>IT Data and HRIS</x:v>
      </x:c>
      <x:c r="K121" s="163" t="str">
        <x:v>Data Analyst</x:v>
      </x:c>
      <x:c r="L121" s="163" t="str">
        <x:v>G4</x:v>
      </x:c>
      <x:c r="M121" s="163" t="str">
        <x:v>Permanent</x:v>
      </x:c>
      <x:c r="N121" s="163" t="str">
        <x:v>General</x:v>
      </x:c>
      <x:c r="O121" s="167" t="n">
        <x:v>46194</x:v>
      </x:c>
      <x:c r="P121" s="167" t="str"/>
      <x:c r="Q121" s="163" t="str">
        <x:v>Active</x:v>
      </x:c>
      <x:c r="R121" s="163" t="str">
        <x:v>Yes</x:v>
      </x:c>
      <x:c r="S121" s="163" t="str">
        <x:v>Data BI and HR Technology</x:v>
      </x:c>
      <x:c r="T121" s="163" t="str">
        <x:v>Certified</x:v>
      </x:c>
      <x:c r="U121" s="169" t="n">
        <x:v>66500</x:v>
      </x:c>
      <x:c r="V121" s="169" t="n">
        <x:v>14400</x:v>
      </x:c>
      <x:c r="W121" s="169" t="n">
        <x:v>86220</x:v>
      </x:c>
      <x:c r="X121" s="163" t="str">
        <x:v>Q2</x:v>
      </x:c>
      <x:c r="Y121" s="163" t="str">
        <x:v>Yes</x:v>
      </x:c>
      <x:c r="Z121" s="163" t="n">
        <x:f>ROUND((IF(P121="",DATE(2026,12,31),P121)-O121)/30.44,0)</x:f>
        <x:v>6</x:v>
      </x:c>
      <x:c r="AA121" s="169" t="n">
        <x:f>W121*12</x:f>
        <x:v>1034640</x:v>
      </x:c>
    </x:row>
    <x:row r="122">
      <x:c r="A122" s="163" t="str">
        <x:v>SG-28019062606</x:v>
      </x:c>
      <x:c r="B122" s="163" t="str">
        <x:v>Tamim Kabir</x:v>
      </x:c>
      <x:c r="C122" s="163" t="str">
        <x:v>Male</x:v>
      </x:c>
      <x:c r="D122" s="163" t="n">
        <x:v>31</x:v>
      </x:c>
      <x:c r="E122" s="163" t="str">
        <x:v>Mymensingh</x:v>
      </x:c>
      <x:c r="F122" s="163" t="str">
        <x:v>SG-003</x:v>
      </x:c>
      <x:c r="G122" s="163" t="str">
        <x:v>Sabia Digital Services Ltd.</x:v>
      </x:c>
      <x:c r="H122" s="163" t="str">
        <x:v>FAC-HQ</x:v>
      </x:c>
      <x:c r="I122" s="163" t="str">
        <x:v>280</x:v>
      </x:c>
      <x:c r="J122" s="163" t="str">
        <x:v>IT Data and HRIS</x:v>
      </x:c>
      <x:c r="K122" s="163" t="str">
        <x:v>Data Analyst</x:v>
      </x:c>
      <x:c r="L122" s="163" t="str">
        <x:v>G4</x:v>
      </x:c>
      <x:c r="M122" s="163" t="str">
        <x:v>Permanent</x:v>
      </x:c>
      <x:c r="N122" s="163" t="str">
        <x:v>General</x:v>
      </x:c>
      <x:c r="O122" s="167" t="n">
        <x:v>46192</x:v>
      </x:c>
      <x:c r="P122" s="167" t="str"/>
      <x:c r="Q122" s="163" t="str">
        <x:v>Active</x:v>
      </x:c>
      <x:c r="R122" s="163" t="str">
        <x:v>Yes</x:v>
      </x:c>
      <x:c r="S122" s="163" t="str">
        <x:v>Data BI and HR Technology</x:v>
      </x:c>
      <x:c r="T122" s="163" t="str">
        <x:v>Intermediate</x:v>
      </x:c>
      <x:c r="U122" s="169" t="n">
        <x:v>68500</x:v>
      </x:c>
      <x:c r="V122" s="169" t="n">
        <x:v>16200</x:v>
      </x:c>
      <x:c r="W122" s="169" t="n">
        <x:v>90180</x:v>
      </x:c>
      <x:c r="X122" s="163" t="str">
        <x:v>Q2</x:v>
      </x:c>
      <x:c r="Y122" s="163" t="str">
        <x:v>Yes</x:v>
      </x:c>
      <x:c r="Z122" s="163" t="n">
        <x:f>ROUND((IF(P122="",DATE(2026,12,31),P122)-O122)/30.44,0)</x:f>
        <x:v>6</x:v>
      </x:c>
      <x:c r="AA122" s="169" t="n">
        <x:f>W122*12</x:f>
        <x:v>1082160</x:v>
      </x:c>
    </x:row>
    <x:row r="123">
      <x:c r="A123" s="163" t="str">
        <x:v>SG-12727052607</x:v>
      </x:c>
      <x:c r="B123" s="163" t="str">
        <x:v>Rakib Kabir</x:v>
      </x:c>
      <x:c r="C123" s="163" t="str">
        <x:v>Male</x:v>
      </x:c>
      <x:c r="D123" s="163" t="n">
        <x:v>35</x:v>
      </x:c>
      <x:c r="E123" s="163" t="str">
        <x:v>Kushtia</x:v>
      </x:c>
      <x:c r="F123" s="163" t="str">
        <x:v>SG-003</x:v>
      </x:c>
      <x:c r="G123" s="163" t="str">
        <x:v>Sabia Digital Services Ltd.</x:v>
      </x:c>
      <x:c r="H123" s="163" t="str">
        <x:v>FAC-HQ</x:v>
      </x:c>
      <x:c r="I123" s="163" t="str">
        <x:v>127</x:v>
      </x:c>
      <x:c r="J123" s="163" t="str">
        <x:v>Human Resources and People</x:v>
      </x:c>
      <x:c r="K123" s="163" t="str">
        <x:v>Learning and Development Specialist</x:v>
      </x:c>
      <x:c r="L123" s="163" t="str">
        <x:v>G4</x:v>
      </x:c>
      <x:c r="M123" s="163" t="str">
        <x:v>Permanent</x:v>
      </x:c>
      <x:c r="N123" s="163" t="str">
        <x:v>General</x:v>
      </x:c>
      <x:c r="O123" s="167" t="n">
        <x:v>46169</x:v>
      </x:c>
      <x:c r="P123" s="167" t="str"/>
      <x:c r="Q123" s="163" t="str">
        <x:v>Active</x:v>
      </x:c>
      <x:c r="R123" s="163" t="str">
        <x:v>No</x:v>
      </x:c>
      <x:c r="S123" s="163" t="str">
        <x:v>People Strategy and HRBP</x:v>
      </x:c>
      <x:c r="T123" s="163" t="str">
        <x:v>Advanced</x:v>
      </x:c>
      <x:c r="U123" s="169" t="n">
        <x:v>48500</x:v>
      </x:c>
      <x:c r="V123" s="169" t="n">
        <x:v>7100</x:v>
      </x:c>
      <x:c r="W123" s="169" t="n">
        <x:v>59480</x:v>
      </x:c>
      <x:c r="X123" s="163" t="str">
        <x:v>Q2</x:v>
      </x:c>
      <x:c r="Y123" s="163" t="str">
        <x:v>Yes</x:v>
      </x:c>
      <x:c r="Z123" s="163" t="n">
        <x:f>ROUND((IF(P123="",DATE(2026,12,31),P123)-O123)/30.44,0)</x:f>
        <x:v>7</x:v>
      </x:c>
      <x:c r="AA123" s="169" t="n">
        <x:f>W123*12</x:f>
        <x:v>713760</x:v>
      </x:c>
    </x:row>
    <x:row r="124">
      <x:c r="A124" s="163" t="str">
        <x:v>SG-25010042607</x:v>
      </x:c>
      <x:c r="B124" s="163" t="str">
        <x:v>Shahriar Jahan</x:v>
      </x:c>
      <x:c r="C124" s="163" t="str">
        <x:v>Male</x:v>
      </x:c>
      <x:c r="D124" s="163" t="n">
        <x:v>33</x:v>
      </x:c>
      <x:c r="E124" s="163" t="str">
        <x:v>Jashore</x:v>
      </x:c>
      <x:c r="F124" s="163" t="str">
        <x:v>SG-001</x:v>
      </x:c>
      <x:c r="G124" s="163" t="str">
        <x:v>Sabia Smart Devices Ltd.</x:v>
      </x:c>
      <x:c r="H124" s="163" t="str">
        <x:v>FAC-GZ</x:v>
      </x:c>
      <x:c r="I124" s="163" t="str">
        <x:v>250</x:v>
      </x:c>
      <x:c r="J124" s="163" t="str">
        <x:v>Supply Chain and Planning</x:v>
      </x:c>
      <x:c r="K124" s="163" t="str">
        <x:v>Inventory Controller</x:v>
      </x:c>
      <x:c r="L124" s="163" t="str">
        <x:v>G3</x:v>
      </x:c>
      <x:c r="M124" s="163" t="str">
        <x:v>Permanent</x:v>
      </x:c>
      <x:c r="N124" s="163" t="str">
        <x:v>General</x:v>
      </x:c>
      <x:c r="O124" s="167" t="n">
        <x:v>46122</x:v>
      </x:c>
      <x:c r="P124" s="167" t="str"/>
      <x:c r="Q124" s="163" t="str">
        <x:v>Active</x:v>
      </x:c>
      <x:c r="R124" s="163" t="str">
        <x:v>No</x:v>
      </x:c>
      <x:c r="S124" s="163" t="str">
        <x:v>Business Operations</x:v>
      </x:c>
      <x:c r="T124" s="163" t="str">
        <x:v>Entry</x:v>
      </x:c>
      <x:c r="U124" s="169" t="n">
        <x:v>44500</x:v>
      </x:c>
      <x:c r="V124" s="169" t="n">
        <x:v>8000</x:v>
      </x:c>
      <x:c r="W124" s="169" t="n">
        <x:v>56060</x:v>
      </x:c>
      <x:c r="X124" s="163" t="str">
        <x:v>Q2</x:v>
      </x:c>
      <x:c r="Y124" s="163" t="str">
        <x:v>Yes</x:v>
      </x:c>
      <x:c r="Z124" s="163" t="n">
        <x:f>ROUND((IF(P124="",DATE(2026,12,31),P124)-O124)/30.44,0)</x:f>
        <x:v>9</x:v>
      </x:c>
      <x:c r="AA124" s="169" t="n">
        <x:f>W124*12</x:f>
        <x:v>672720</x:v>
      </x:c>
    </x:row>
    <x:row r="125">
      <x:c r="A125" s="163" t="str">
        <x:v>SG-30023052603</x:v>
      </x:c>
      <x:c r="B125" s="163" t="str">
        <x:v>Siam Bari</x:v>
      </x:c>
      <x:c r="C125" s="163" t="str">
        <x:v>Male</x:v>
      </x:c>
      <x:c r="D125" s="163" t="n">
        <x:v>36</x:v>
      </x:c>
      <x:c r="E125" s="163" t="str">
        <x:v>Chattogram</x:v>
      </x:c>
      <x:c r="F125" s="163" t="str">
        <x:v>SG-001</x:v>
      </x:c>
      <x:c r="G125" s="163" t="str">
        <x:v>Sabia Smart Devices Ltd.</x:v>
      </x:c>
      <x:c r="H125" s="163" t="str">
        <x:v>FAC-GZ</x:v>
      </x:c>
      <x:c r="I125" s="163" t="str">
        <x:v>300</x:v>
      </x:c>
      <x:c r="J125" s="163" t="str">
        <x:v>EHS and Regulatory Compliance</x:v>
      </x:c>
      <x:c r="K125" s="163" t="str">
        <x:v>EHS and Compliance Manager</x:v>
      </x:c>
      <x:c r="L125" s="163" t="str">
        <x:v>G6</x:v>
      </x:c>
      <x:c r="M125" s="163" t="str">
        <x:v>Permanent</x:v>
      </x:c>
      <x:c r="N125" s="163" t="str">
        <x:v>A</x:v>
      </x:c>
      <x:c r="O125" s="167" t="n">
        <x:v>46165</x:v>
      </x:c>
      <x:c r="P125" s="167" t="str"/>
      <x:c r="Q125" s="163" t="str">
        <x:v>Active</x:v>
      </x:c>
      <x:c r="R125" s="163" t="str">
        <x:v>No</x:v>
      </x:c>
      <x:c r="S125" s="163" t="str">
        <x:v>Business Operations</x:v>
      </x:c>
      <x:c r="T125" s="163" t="str">
        <x:v>Entry</x:v>
      </x:c>
      <x:c r="U125" s="169" t="n">
        <x:v>132000</x:v>
      </x:c>
      <x:c r="V125" s="169" t="n">
        <x:v>32600</x:v>
      </x:c>
      <x:c r="W125" s="169" t="n">
        <x:v>175160</x:v>
      </x:c>
      <x:c r="X125" s="163" t="str">
        <x:v>Q2</x:v>
      </x:c>
      <x:c r="Y125" s="163" t="str">
        <x:v>Yes</x:v>
      </x:c>
      <x:c r="Z125" s="163" t="n">
        <x:f>ROUND((IF(P125="",DATE(2026,12,31),P125)-O125)/30.44,0)</x:f>
        <x:v>7</x:v>
      </x:c>
      <x:c r="AA125" s="169" t="n">
        <x:f>W125*12</x:f>
        <x:v>2101920</x:v>
      </x:c>
    </x:row>
    <x:row r="126">
      <x:c r="A126" s="163" t="str">
        <x:v>SG-21028082654</x:v>
      </x:c>
      <x:c r="B126" s="163" t="str">
        <x:v>Raisa Ahmed</x:v>
      </x:c>
      <x:c r="C126" s="163" t="str">
        <x:v>Female</x:v>
      </x:c>
      <x:c r="D126" s="163" t="n">
        <x:v>26</x:v>
      </x:c>
      <x:c r="E126" s="163" t="str">
        <x:v>Narayanganj</x:v>
      </x:c>
      <x:c r="F126" s="163" t="str">
        <x:v>SG-001</x:v>
      </x:c>
      <x:c r="G126" s="163" t="str">
        <x:v>Sabia Smart Devices Ltd.</x:v>
      </x:c>
      <x:c r="H126" s="163" t="str">
        <x:v>FAC-GZ</x:v>
      </x:c>
      <x:c r="I126" s="163" t="str">
        <x:v>210</x:v>
      </x:c>
      <x:c r="J126" s="163" t="str">
        <x:v>Smartwatch Production</x:v>
      </x:c>
      <x:c r="K126" s="163" t="str">
        <x:v>Assembly Operator</x:v>
      </x:c>
      <x:c r="L126" s="163" t="str">
        <x:v>G1</x:v>
      </x:c>
      <x:c r="M126" s="163" t="str">
        <x:v>Permanent</x:v>
      </x:c>
      <x:c r="N126" s="163" t="str">
        <x:v>C</x:v>
      </x:c>
      <x:c r="O126" s="167" t="n">
        <x:v>46262</x:v>
      </x:c>
      <x:c r="P126" s="167" t="str"/>
      <x:c r="Q126" s="163" t="str">
        <x:v>Active</x:v>
      </x:c>
      <x:c r="R126" s="163" t="str">
        <x:v>No</x:v>
      </x:c>
      <x:c r="S126" s="163" t="str">
        <x:v>Precision Assembly</x:v>
      </x:c>
      <x:c r="T126" s="163" t="str">
        <x:v>Intermediate</x:v>
      </x:c>
      <x:c r="U126" s="169" t="n">
        <x:v>18500</x:v>
      </x:c>
      <x:c r="V126" s="169" t="n">
        <x:v>4600</x:v>
      </x:c>
      <x:c r="W126" s="169" t="n">
        <x:v>24580</x:v>
      </x:c>
      <x:c r="X126" s="163" t="str">
        <x:v>Q3</x:v>
      </x:c>
      <x:c r="Y126" s="163" t="str">
        <x:v>Yes</x:v>
      </x:c>
      <x:c r="Z126" s="163" t="n">
        <x:f>ROUND((IF(P126="",DATE(2026,12,31),P126)-O126)/30.44,0)</x:f>
        <x:v>4</x:v>
      </x:c>
      <x:c r="AA126" s="169" t="n">
        <x:f>W126*12</x:f>
        <x:v>294960</x:v>
      </x:c>
    </x:row>
    <x:row r="127">
      <x:c r="A127" s="163" t="str">
        <x:v>SG-21001092655</x:v>
      </x:c>
      <x:c r="B127" s="163" t="str">
        <x:v>Mehedi Miah</x:v>
      </x:c>
      <x:c r="C127" s="163" t="str">
        <x:v>Male</x:v>
      </x:c>
      <x:c r="D127" s="163" t="n">
        <x:v>34</x:v>
      </x:c>
      <x:c r="E127" s="163" t="str">
        <x:v>Gazipur</x:v>
      </x:c>
      <x:c r="F127" s="163" t="str">
        <x:v>SG-001</x:v>
      </x:c>
      <x:c r="G127" s="163" t="str">
        <x:v>Sabia Smart Devices Ltd.</x:v>
      </x:c>
      <x:c r="H127" s="163" t="str">
        <x:v>FAC-GZ</x:v>
      </x:c>
      <x:c r="I127" s="163" t="str">
        <x:v>210</x:v>
      </x:c>
      <x:c r="J127" s="163" t="str">
        <x:v>Smartwatch Production</x:v>
      </x:c>
      <x:c r="K127" s="163" t="str">
        <x:v>Production Supervisor</x:v>
      </x:c>
      <x:c r="L127" s="163" t="str">
        <x:v>G4</x:v>
      </x:c>
      <x:c r="M127" s="163" t="str">
        <x:v>Permanent</x:v>
      </x:c>
      <x:c r="N127" s="163" t="str">
        <x:v>C</x:v>
      </x:c>
      <x:c r="O127" s="167" t="n">
        <x:v>46266</x:v>
      </x:c>
      <x:c r="P127" s="167" t="str"/>
      <x:c r="Q127" s="163" t="str">
        <x:v>Active</x:v>
      </x:c>
      <x:c r="R127" s="163" t="str">
        <x:v>No</x:v>
      </x:c>
      <x:c r="S127" s="163" t="str">
        <x:v>Precision Assembly</x:v>
      </x:c>
      <x:c r="T127" s="163" t="str">
        <x:v>Certified</x:v>
      </x:c>
      <x:c r="U127" s="169" t="n">
        <x:v>48500</x:v>
      </x:c>
      <x:c r="V127" s="169" t="n">
        <x:v>8900</x:v>
      </x:c>
      <x:c r="W127" s="169" t="n">
        <x:v>61280</x:v>
      </x:c>
      <x:c r="X127" s="163" t="str">
        <x:v>Q3</x:v>
      </x:c>
      <x:c r="Y127" s="163" t="str">
        <x:v>Yes</x:v>
      </x:c>
      <x:c r="Z127" s="163" t="n">
        <x:f>ROUND((IF(P127="",DATE(2026,12,31),P127)-O127)/30.44,0)</x:f>
        <x:v>4</x:v>
      </x:c>
      <x:c r="AA127" s="169" t="n">
        <x:f>W127*12</x:f>
        <x:v>735360</x:v>
      </x:c>
    </x:row>
    <x:row r="128">
      <x:c r="A128" s="163" t="str">
        <x:v>SG-21018072656</x:v>
      </x:c>
      <x:c r="B128" s="163" t="str">
        <x:v>Saif Miah</x:v>
      </x:c>
      <x:c r="C128" s="163" t="str">
        <x:v>Male</x:v>
      </x:c>
      <x:c r="D128" s="163" t="n">
        <x:v>34</x:v>
      </x:c>
      <x:c r="E128" s="163" t="str">
        <x:v>Rangpur</x:v>
      </x:c>
      <x:c r="F128" s="163" t="str">
        <x:v>SG-001</x:v>
      </x:c>
      <x:c r="G128" s="163" t="str">
        <x:v>Sabia Smart Devices Ltd.</x:v>
      </x:c>
      <x:c r="H128" s="163" t="str">
        <x:v>FAC-GZ</x:v>
      </x:c>
      <x:c r="I128" s="163" t="str">
        <x:v>210</x:v>
      </x:c>
      <x:c r="J128" s="163" t="str">
        <x:v>Smartwatch Production</x:v>
      </x:c>
      <x:c r="K128" s="163" t="str">
        <x:v>Assembly Operator</x:v>
      </x:c>
      <x:c r="L128" s="163" t="str">
        <x:v>G1</x:v>
      </x:c>
      <x:c r="M128" s="163" t="str">
        <x:v>Permanent</x:v>
      </x:c>
      <x:c r="N128" s="163" t="str">
        <x:v>C</x:v>
      </x:c>
      <x:c r="O128" s="167" t="n">
        <x:v>46221</x:v>
      </x:c>
      <x:c r="P128" s="167" t="str"/>
      <x:c r="Q128" s="163" t="str">
        <x:v>Active</x:v>
      </x:c>
      <x:c r="R128" s="163" t="str">
        <x:v>No</x:v>
      </x:c>
      <x:c r="S128" s="163" t="str">
        <x:v>Precision Assembly</x:v>
      </x:c>
      <x:c r="T128" s="163" t="str">
        <x:v>Entry</x:v>
      </x:c>
      <x:c r="U128" s="169" t="n">
        <x:v>19500</x:v>
      </x:c>
      <x:c r="V128" s="169" t="n">
        <x:v>5100</x:v>
      </x:c>
      <x:c r="W128" s="169" t="n">
        <x:v>26160</x:v>
      </x:c>
      <x:c r="X128" s="163" t="str">
        <x:v>Q3</x:v>
      </x:c>
      <x:c r="Y128" s="163" t="str">
        <x:v>Yes</x:v>
      </x:c>
      <x:c r="Z128" s="163" t="n">
        <x:f>ROUND((IF(P128="",DATE(2026,12,31),P128)-O128)/30.44,0)</x:f>
        <x:v>5</x:v>
      </x:c>
      <x:c r="AA128" s="169" t="n">
        <x:f>W128*12</x:f>
        <x:v>313920</x:v>
      </x:c>
    </x:row>
    <x:row r="129">
      <x:c r="A129" s="163" t="str">
        <x:v>SG-21012092657</x:v>
      </x:c>
      <x:c r="B129" s="163" t="str">
        <x:v>Riyad Hossain</x:v>
      </x:c>
      <x:c r="C129" s="163" t="str">
        <x:v>Male</x:v>
      </x:c>
      <x:c r="D129" s="163" t="n">
        <x:v>35</x:v>
      </x:c>
      <x:c r="E129" s="163" t="str">
        <x:v>Noakhali</x:v>
      </x:c>
      <x:c r="F129" s="163" t="str">
        <x:v>SG-001</x:v>
      </x:c>
      <x:c r="G129" s="163" t="str">
        <x:v>Sabia Smart Devices Ltd.</x:v>
      </x:c>
      <x:c r="H129" s="163" t="str">
        <x:v>FAC-GZ</x:v>
      </x:c>
      <x:c r="I129" s="163" t="str">
        <x:v>210</x:v>
      </x:c>
      <x:c r="J129" s="163" t="str">
        <x:v>Smartwatch Production</x:v>
      </x:c>
      <x:c r="K129" s="163" t="str">
        <x:v>Production Line Leader</x:v>
      </x:c>
      <x:c r="L129" s="163" t="str">
        <x:v>G3</x:v>
      </x:c>
      <x:c r="M129" s="163" t="str">
        <x:v>Permanent</x:v>
      </x:c>
      <x:c r="N129" s="163" t="str">
        <x:v>C</x:v>
      </x:c>
      <x:c r="O129" s="167" t="n">
        <x:v>46277</x:v>
      </x:c>
      <x:c r="P129" s="167" t="str"/>
      <x:c r="Q129" s="163" t="str">
        <x:v>Active</x:v>
      </x:c>
      <x:c r="R129" s="163" t="str">
        <x:v>No</x:v>
      </x:c>
      <x:c r="S129" s="163" t="str">
        <x:v>Precision Assembly</x:v>
      </x:c>
      <x:c r="T129" s="163" t="str">
        <x:v>Entry</x:v>
      </x:c>
      <x:c r="U129" s="169" t="n">
        <x:v>30500</x:v>
      </x:c>
      <x:c r="V129" s="169" t="n">
        <x:v>6200</x:v>
      </x:c>
      <x:c r="W129" s="169" t="n">
        <x:v>39140</x:v>
      </x:c>
      <x:c r="X129" s="163" t="str">
        <x:v>Q3</x:v>
      </x:c>
      <x:c r="Y129" s="163" t="str">
        <x:v>Yes</x:v>
      </x:c>
      <x:c r="Z129" s="163" t="n">
        <x:f>ROUND((IF(P129="",DATE(2026,12,31),P129)-O129)/30.44,0)</x:f>
        <x:v>4</x:v>
      </x:c>
      <x:c r="AA129" s="169" t="n">
        <x:f>W129*12</x:f>
        <x:v>469680</x:v>
      </x:c>
    </x:row>
    <x:row r="130">
      <x:c r="A130" s="163" t="str">
        <x:v>SG-21012092658</x:v>
      </x:c>
      <x:c r="B130" s="163" t="str">
        <x:v>Rumana Karim</x:v>
      </x:c>
      <x:c r="C130" s="163" t="str">
        <x:v>Female</x:v>
      </x:c>
      <x:c r="D130" s="163" t="n">
        <x:v>25</x:v>
      </x:c>
      <x:c r="E130" s="163" t="str">
        <x:v>Feni</x:v>
      </x:c>
      <x:c r="F130" s="163" t="str">
        <x:v>SG-001</x:v>
      </x:c>
      <x:c r="G130" s="163" t="str">
        <x:v>Sabia Smart Devices Ltd.</x:v>
      </x:c>
      <x:c r="H130" s="163" t="str">
        <x:v>FAC-GZ</x:v>
      </x:c>
      <x:c r="I130" s="163" t="str">
        <x:v>210</x:v>
      </x:c>
      <x:c r="J130" s="163" t="str">
        <x:v>Smartwatch Production</x:v>
      </x:c>
      <x:c r="K130" s="163" t="str">
        <x:v>Precision Assembly Technician</x:v>
      </x:c>
      <x:c r="L130" s="163" t="str">
        <x:v>G2</x:v>
      </x:c>
      <x:c r="M130" s="163" t="str">
        <x:v>Permanent</x:v>
      </x:c>
      <x:c r="N130" s="163" t="str">
        <x:v>B</x:v>
      </x:c>
      <x:c r="O130" s="167" t="n">
        <x:v>46277</x:v>
      </x:c>
      <x:c r="P130" s="167" t="str"/>
      <x:c r="Q130" s="163" t="str">
        <x:v>Active</x:v>
      </x:c>
      <x:c r="R130" s="163" t="str">
        <x:v>Yes</x:v>
      </x:c>
      <x:c r="S130" s="163" t="str">
        <x:v>Precision Assembly</x:v>
      </x:c>
      <x:c r="T130" s="163" t="str">
        <x:v>Certified</x:v>
      </x:c>
      <x:c r="U130" s="169" t="n">
        <x:v>26500</x:v>
      </x:c>
      <x:c r="V130" s="169" t="n">
        <x:v>5200</x:v>
      </x:c>
      <x:c r="W130" s="169" t="n">
        <x:v>33820</x:v>
      </x:c>
      <x:c r="X130" s="163" t="str">
        <x:v>Q3</x:v>
      </x:c>
      <x:c r="Y130" s="163" t="str">
        <x:v>Yes</x:v>
      </x:c>
      <x:c r="Z130" s="163" t="n">
        <x:f>ROUND((IF(P130="",DATE(2026,12,31),P130)-O130)/30.44,0)</x:f>
        <x:v>4</x:v>
      </x:c>
      <x:c r="AA130" s="169" t="n">
        <x:f>W130*12</x:f>
        <x:v>405840</x:v>
      </x:c>
    </x:row>
    <x:row r="131">
      <x:c r="A131" s="163" t="str">
        <x:v>SG-21003092659</x:v>
      </x:c>
      <x:c r="B131" s="163" t="str">
        <x:v>Nafisa Hasan</x:v>
      </x:c>
      <x:c r="C131" s="163" t="str">
        <x:v>Female</x:v>
      </x:c>
      <x:c r="D131" s="163" t="n">
        <x:v>31</x:v>
      </x:c>
      <x:c r="E131" s="163" t="str">
        <x:v>Feni</x:v>
      </x:c>
      <x:c r="F131" s="163" t="str">
        <x:v>SG-001</x:v>
      </x:c>
      <x:c r="G131" s="163" t="str">
        <x:v>Sabia Smart Devices Ltd.</x:v>
      </x:c>
      <x:c r="H131" s="163" t="str">
        <x:v>FAC-GZ</x:v>
      </x:c>
      <x:c r="I131" s="163" t="str">
        <x:v>210</x:v>
      </x:c>
      <x:c r="J131" s="163" t="str">
        <x:v>Smartwatch Production</x:v>
      </x:c>
      <x:c r="K131" s="163" t="str">
        <x:v>SMT Line Technician</x:v>
      </x:c>
      <x:c r="L131" s="163" t="str">
        <x:v>G2</x:v>
      </x:c>
      <x:c r="M131" s="163" t="str">
        <x:v>Permanent</x:v>
      </x:c>
      <x:c r="N131" s="163" t="str">
        <x:v>B</x:v>
      </x:c>
      <x:c r="O131" s="167" t="n">
        <x:v>46268</x:v>
      </x:c>
      <x:c r="P131" s="167" t="str"/>
      <x:c r="Q131" s="163" t="str">
        <x:v>Active</x:v>
      </x:c>
      <x:c r="R131" s="163" t="str">
        <x:v>Yes</x:v>
      </x:c>
      <x:c r="S131" s="163" t="str">
        <x:v>Precision Assembly</x:v>
      </x:c>
      <x:c r="T131" s="163" t="str">
        <x:v>Entry</x:v>
      </x:c>
      <x:c r="U131" s="169" t="n">
        <x:v>24000</x:v>
      </x:c>
      <x:c r="V131" s="169" t="n">
        <x:v>6200</x:v>
      </x:c>
      <x:c r="W131" s="169" t="n">
        <x:v>32120</x:v>
      </x:c>
      <x:c r="X131" s="163" t="str">
        <x:v>Q3</x:v>
      </x:c>
      <x:c r="Y131" s="163" t="str">
        <x:v>Yes</x:v>
      </x:c>
      <x:c r="Z131" s="163" t="n">
        <x:f>ROUND((IF(P131="",DATE(2026,12,31),P131)-O131)/30.44,0)</x:f>
        <x:v>4</x:v>
      </x:c>
      <x:c r="AA131" s="169" t="n">
        <x:f>W131*12</x:f>
        <x:v>385440</x:v>
      </x:c>
    </x:row>
    <x:row r="132">
      <x:c r="A132" s="163" t="str">
        <x:v>SG-21009092660</x:v>
      </x:c>
      <x:c r="B132" s="163" t="str">
        <x:v>Aminul Akter</x:v>
      </x:c>
      <x:c r="C132" s="163" t="str">
        <x:v>Male</x:v>
      </x:c>
      <x:c r="D132" s="163" t="n">
        <x:v>28</x:v>
      </x:c>
      <x:c r="E132" s="163" t="str">
        <x:v>Noakhali</x:v>
      </x:c>
      <x:c r="F132" s="163" t="str">
        <x:v>SG-001</x:v>
      </x:c>
      <x:c r="G132" s="163" t="str">
        <x:v>Sabia Smart Devices Ltd.</x:v>
      </x:c>
      <x:c r="H132" s="163" t="str">
        <x:v>FAC-GZ</x:v>
      </x:c>
      <x:c r="I132" s="163" t="str">
        <x:v>210</x:v>
      </x:c>
      <x:c r="J132" s="163" t="str">
        <x:v>Smartwatch Production</x:v>
      </x:c>
      <x:c r="K132" s="163" t="str">
        <x:v>Production Supervisor</x:v>
      </x:c>
      <x:c r="L132" s="163" t="str">
        <x:v>G4</x:v>
      </x:c>
      <x:c r="M132" s="163" t="str">
        <x:v>Permanent</x:v>
      </x:c>
      <x:c r="N132" s="163" t="str">
        <x:v>B</x:v>
      </x:c>
      <x:c r="O132" s="167" t="n">
        <x:v>46274</x:v>
      </x:c>
      <x:c r="P132" s="167" t="str"/>
      <x:c r="Q132" s="163" t="str">
        <x:v>Active</x:v>
      </x:c>
      <x:c r="R132" s="163" t="str">
        <x:v>No</x:v>
      </x:c>
      <x:c r="S132" s="163" t="str">
        <x:v>Precision Assembly</x:v>
      </x:c>
      <x:c r="T132" s="163" t="str">
        <x:v>Intermediate</x:v>
      </x:c>
      <x:c r="U132" s="169" t="n">
        <x:v>48000</x:v>
      </x:c>
      <x:c r="V132" s="169" t="n">
        <x:v>6600</x:v>
      </x:c>
      <x:c r="W132" s="169" t="n">
        <x:v>58440</x:v>
      </x:c>
      <x:c r="X132" s="163" t="str">
        <x:v>Q3</x:v>
      </x:c>
      <x:c r="Y132" s="163" t="str">
        <x:v>Yes</x:v>
      </x:c>
      <x:c r="Z132" s="163" t="n">
        <x:f>ROUND((IF(P132="",DATE(2026,12,31),P132)-O132)/30.44,0)</x:f>
        <x:v>4</x:v>
      </x:c>
      <x:c r="AA132" s="169" t="n">
        <x:f>W132*12</x:f>
        <x:v>701280</x:v>
      </x:c>
    </x:row>
    <x:row r="133">
      <x:c r="A133" s="163" t="str">
        <x:v>SG-21024092661</x:v>
      </x:c>
      <x:c r="B133" s="163" t="str">
        <x:v>Sakib Akter</x:v>
      </x:c>
      <x:c r="C133" s="163" t="str">
        <x:v>Male</x:v>
      </x:c>
      <x:c r="D133" s="163" t="n">
        <x:v>34</x:v>
      </x:c>
      <x:c r="E133" s="163" t="str">
        <x:v>Dhaka</x:v>
      </x:c>
      <x:c r="F133" s="163" t="str">
        <x:v>SG-001</x:v>
      </x:c>
      <x:c r="G133" s="163" t="str">
        <x:v>Sabia Smart Devices Ltd.</x:v>
      </x:c>
      <x:c r="H133" s="163" t="str">
        <x:v>FAC-GZ</x:v>
      </x:c>
      <x:c r="I133" s="163" t="str">
        <x:v>210</x:v>
      </x:c>
      <x:c r="J133" s="163" t="str">
        <x:v>Smartwatch Production</x:v>
      </x:c>
      <x:c r="K133" s="163" t="str">
        <x:v>Production Supervisor</x:v>
      </x:c>
      <x:c r="L133" s="163" t="str">
        <x:v>G4</x:v>
      </x:c>
      <x:c r="M133" s="163" t="str">
        <x:v>Probation</x:v>
      </x:c>
      <x:c r="N133" s="163" t="str">
        <x:v>A</x:v>
      </x:c>
      <x:c r="O133" s="167" t="n">
        <x:v>46289</x:v>
      </x:c>
      <x:c r="P133" s="167" t="str"/>
      <x:c r="Q133" s="163" t="str">
        <x:v>Active</x:v>
      </x:c>
      <x:c r="R133" s="163" t="str">
        <x:v>No</x:v>
      </x:c>
      <x:c r="S133" s="163" t="str">
        <x:v>Precision Assembly</x:v>
      </x:c>
      <x:c r="T133" s="163" t="str">
        <x:v>Entry</x:v>
      </x:c>
      <x:c r="U133" s="169" t="n">
        <x:v>57500</x:v>
      </x:c>
      <x:c r="V133" s="169" t="n">
        <x:v>7100</x:v>
      </x:c>
      <x:c r="W133" s="169" t="n">
        <x:v>69200</x:v>
      </x:c>
      <x:c r="X133" s="163" t="str">
        <x:v>Q3</x:v>
      </x:c>
      <x:c r="Y133" s="163" t="str">
        <x:v>Yes</x:v>
      </x:c>
      <x:c r="Z133" s="163" t="n">
        <x:f>ROUND((IF(P133="",DATE(2026,12,31),P133)-O133)/30.44,0)</x:f>
        <x:v>3</x:v>
      </x:c>
      <x:c r="AA133" s="169" t="n">
        <x:f>W133*12</x:f>
        <x:v>830400</x:v>
      </x:c>
    </x:row>
    <x:row r="134">
      <x:c r="A134" s="163" t="str">
        <x:v>SG-21010082662</x:v>
      </x:c>
      <x:c r="B134" s="163" t="str">
        <x:v>Sabrina Chowdhury</x:v>
      </x:c>
      <x:c r="C134" s="163" t="str">
        <x:v>Female</x:v>
      </x:c>
      <x:c r="D134" s="163" t="n">
        <x:v>26</x:v>
      </x:c>
      <x:c r="E134" s="163" t="str">
        <x:v>Pabna</x:v>
      </x:c>
      <x:c r="F134" s="163" t="str">
        <x:v>SG-001</x:v>
      </x:c>
      <x:c r="G134" s="163" t="str">
        <x:v>Sabia Smart Devices Ltd.</x:v>
      </x:c>
      <x:c r="H134" s="163" t="str">
        <x:v>FAC-GZ</x:v>
      </x:c>
      <x:c r="I134" s="163" t="str">
        <x:v>210</x:v>
      </x:c>
      <x:c r="J134" s="163" t="str">
        <x:v>Smartwatch Production</x:v>
      </x:c>
      <x:c r="K134" s="163" t="str">
        <x:v>Assembly Operator</x:v>
      </x:c>
      <x:c r="L134" s="163" t="str">
        <x:v>G1</x:v>
      </x:c>
      <x:c r="M134" s="163" t="str">
        <x:v>Probation</x:v>
      </x:c>
      <x:c r="N134" s="163" t="str">
        <x:v>C</x:v>
      </x:c>
      <x:c r="O134" s="167" t="n">
        <x:v>46244</x:v>
      </x:c>
      <x:c r="P134" s="167" t="str"/>
      <x:c r="Q134" s="163" t="str">
        <x:v>Active</x:v>
      </x:c>
      <x:c r="R134" s="163" t="str">
        <x:v>No</x:v>
      </x:c>
      <x:c r="S134" s="163" t="str">
        <x:v>Precision Assembly</x:v>
      </x:c>
      <x:c r="T134" s="163" t="str">
        <x:v>Intermediate</x:v>
      </x:c>
      <x:c r="U134" s="169" t="n">
        <x:v>18500</x:v>
      </x:c>
      <x:c r="V134" s="169" t="n">
        <x:v>3900</x:v>
      </x:c>
      <x:c r="W134" s="169" t="n">
        <x:v>23880</x:v>
      </x:c>
      <x:c r="X134" s="163" t="str">
        <x:v>Q3</x:v>
      </x:c>
      <x:c r="Y134" s="163" t="str">
        <x:v>Yes</x:v>
      </x:c>
      <x:c r="Z134" s="163" t="n">
        <x:f>ROUND((IF(P134="",DATE(2026,12,31),P134)-O134)/30.44,0)</x:f>
        <x:v>5</x:v>
      </x:c>
      <x:c r="AA134" s="169" t="n">
        <x:f>W134*12</x:f>
        <x:v>286560</x:v>
      </x:c>
    </x:row>
    <x:row r="135">
      <x:c r="A135" s="163" t="str">
        <x:v>SG-21022082663</x:v>
      </x:c>
      <x:c r="B135" s="163" t="str">
        <x:v>Tanjila Kabir</x:v>
      </x:c>
      <x:c r="C135" s="163" t="str">
        <x:v>Female</x:v>
      </x:c>
      <x:c r="D135" s="163" t="n">
        <x:v>33</x:v>
      </x:c>
      <x:c r="E135" s="163" t="str">
        <x:v>Pabna</x:v>
      </x:c>
      <x:c r="F135" s="163" t="str">
        <x:v>SG-001</x:v>
      </x:c>
      <x:c r="G135" s="163" t="str">
        <x:v>Sabia Smart Devices Ltd.</x:v>
      </x:c>
      <x:c r="H135" s="163" t="str">
        <x:v>FAC-GZ</x:v>
      </x:c>
      <x:c r="I135" s="163" t="str">
        <x:v>210</x:v>
      </x:c>
      <x:c r="J135" s="163" t="str">
        <x:v>Smartwatch Production</x:v>
      </x:c>
      <x:c r="K135" s="163" t="str">
        <x:v>Assembly Operator</x:v>
      </x:c>
      <x:c r="L135" s="163" t="str">
        <x:v>G1</x:v>
      </x:c>
      <x:c r="M135" s="163" t="str">
        <x:v>Permanent</x:v>
      </x:c>
      <x:c r="N135" s="163" t="str">
        <x:v>A</x:v>
      </x:c>
      <x:c r="O135" s="167" t="n">
        <x:v>46256</x:v>
      </x:c>
      <x:c r="P135" s="167" t="str"/>
      <x:c r="Q135" s="163" t="str">
        <x:v>Active</x:v>
      </x:c>
      <x:c r="R135" s="163" t="str">
        <x:v>No</x:v>
      </x:c>
      <x:c r="S135" s="163" t="str">
        <x:v>Precision Assembly</x:v>
      </x:c>
      <x:c r="T135" s="163" t="str">
        <x:v>Certified</x:v>
      </x:c>
      <x:c r="U135" s="169" t="n">
        <x:v>20500</x:v>
      </x:c>
      <x:c r="V135" s="169" t="n">
        <x:v>4800</x:v>
      </x:c>
      <x:c r="W135" s="169" t="n">
        <x:v>26940</x:v>
      </x:c>
      <x:c r="X135" s="163" t="str">
        <x:v>Q3</x:v>
      </x:c>
      <x:c r="Y135" s="163" t="str">
        <x:v>Yes</x:v>
      </x:c>
      <x:c r="Z135" s="163" t="n">
        <x:f>ROUND((IF(P135="",DATE(2026,12,31),P135)-O135)/30.44,0)</x:f>
        <x:v>4</x:v>
      </x:c>
      <x:c r="AA135" s="169" t="n">
        <x:f>W135*12</x:f>
        <x:v>323280</x:v>
      </x:c>
    </x:row>
    <x:row r="136">
      <x:c r="A136" s="163" t="str">
        <x:v>SG-21015082664</x:v>
      </x:c>
      <x:c r="B136" s="163" t="str">
        <x:v>Aminul Alam</x:v>
      </x:c>
      <x:c r="C136" s="163" t="str">
        <x:v>Male</x:v>
      </x:c>
      <x:c r="D136" s="163" t="n">
        <x:v>36</x:v>
      </x:c>
      <x:c r="E136" s="163" t="str">
        <x:v>Rajshahi</x:v>
      </x:c>
      <x:c r="F136" s="163" t="str">
        <x:v>SG-001</x:v>
      </x:c>
      <x:c r="G136" s="163" t="str">
        <x:v>Sabia Smart Devices Ltd.</x:v>
      </x:c>
      <x:c r="H136" s="163" t="str">
        <x:v>FAC-GZ</x:v>
      </x:c>
      <x:c r="I136" s="163" t="str">
        <x:v>210</x:v>
      </x:c>
      <x:c r="J136" s="163" t="str">
        <x:v>Smartwatch Production</x:v>
      </x:c>
      <x:c r="K136" s="163" t="str">
        <x:v>Production Line Leader</x:v>
      </x:c>
      <x:c r="L136" s="163" t="str">
        <x:v>G3</x:v>
      </x:c>
      <x:c r="M136" s="163" t="str">
        <x:v>Permanent</x:v>
      </x:c>
      <x:c r="N136" s="163" t="str">
        <x:v>A</x:v>
      </x:c>
      <x:c r="O136" s="167" t="n">
        <x:v>46249</x:v>
      </x:c>
      <x:c r="P136" s="167" t="str"/>
      <x:c r="Q136" s="163" t="str">
        <x:v>Active</x:v>
      </x:c>
      <x:c r="R136" s="163" t="str">
        <x:v>No</x:v>
      </x:c>
      <x:c r="S136" s="163" t="str">
        <x:v>Precision Assembly</x:v>
      </x:c>
      <x:c r="T136" s="163" t="str">
        <x:v>Certified</x:v>
      </x:c>
      <x:c r="U136" s="169" t="n">
        <x:v>32500</x:v>
      </x:c>
      <x:c r="V136" s="169" t="n">
        <x:v>4900</x:v>
      </x:c>
      <x:c r="W136" s="169" t="n">
        <x:v>40000</x:v>
      </x:c>
      <x:c r="X136" s="163" t="str">
        <x:v>Q3</x:v>
      </x:c>
      <x:c r="Y136" s="163" t="str">
        <x:v>Yes</x:v>
      </x:c>
      <x:c r="Z136" s="163" t="n">
        <x:f>ROUND((IF(P136="",DATE(2026,12,31),P136)-O136)/30.44,0)</x:f>
        <x:v>5</x:v>
      </x:c>
      <x:c r="AA136" s="169" t="n">
        <x:f>W136*12</x:f>
        <x:v>480000</x:v>
      </x:c>
    </x:row>
    <x:row r="137">
      <x:c r="A137" s="163" t="str">
        <x:v>SG-21006082665</x:v>
      </x:c>
      <x:c r="B137" s="163" t="str">
        <x:v>Sharmeen Sultana</x:v>
      </x:c>
      <x:c r="C137" s="163" t="str">
        <x:v>Female</x:v>
      </x:c>
      <x:c r="D137" s="163" t="n">
        <x:v>40</x:v>
      </x:c>
      <x:c r="E137" s="163" t="str">
        <x:v>Feni</x:v>
      </x:c>
      <x:c r="F137" s="163" t="str">
        <x:v>SG-001</x:v>
      </x:c>
      <x:c r="G137" s="163" t="str">
        <x:v>Sabia Smart Devices Ltd.</x:v>
      </x:c>
      <x:c r="H137" s="163" t="str">
        <x:v>FAC-GZ</x:v>
      </x:c>
      <x:c r="I137" s="163" t="str">
        <x:v>210</x:v>
      </x:c>
      <x:c r="J137" s="163" t="str">
        <x:v>Smartwatch Production</x:v>
      </x:c>
      <x:c r="K137" s="163" t="str">
        <x:v>SMT Line Technician</x:v>
      </x:c>
      <x:c r="L137" s="163" t="str">
        <x:v>G2</x:v>
      </x:c>
      <x:c r="M137" s="163" t="str">
        <x:v>Permanent</x:v>
      </x:c>
      <x:c r="N137" s="163" t="str">
        <x:v>B</x:v>
      </x:c>
      <x:c r="O137" s="167" t="n">
        <x:v>46240</x:v>
      </x:c>
      <x:c r="P137" s="167" t="str"/>
      <x:c r="Q137" s="163" t="str">
        <x:v>Active</x:v>
      </x:c>
      <x:c r="R137" s="163" t="str">
        <x:v>Yes</x:v>
      </x:c>
      <x:c r="S137" s="163" t="str">
        <x:v>Precision Assembly</x:v>
      </x:c>
      <x:c r="T137" s="163" t="str">
        <x:v>Entry</x:v>
      </x:c>
      <x:c r="U137" s="169" t="n">
        <x:v>25000</x:v>
      </x:c>
      <x:c r="V137" s="169" t="n">
        <x:v>4700</x:v>
      </x:c>
      <x:c r="W137" s="169" t="n">
        <x:v>31700</x:v>
      </x:c>
      <x:c r="X137" s="163" t="str">
        <x:v>Q3</x:v>
      </x:c>
      <x:c r="Y137" s="163" t="str">
        <x:v>Yes</x:v>
      </x:c>
      <x:c r="Z137" s="163" t="n">
        <x:f>ROUND((IF(P137="",DATE(2026,12,31),P137)-O137)/30.44,0)</x:f>
        <x:v>5</x:v>
      </x:c>
      <x:c r="AA137" s="169" t="n">
        <x:f>W137*12</x:f>
        <x:v>380400</x:v>
      </x:c>
    </x:row>
    <x:row r="138">
      <x:c r="A138" s="163" t="str">
        <x:v>SG-21004082666</x:v>
      </x:c>
      <x:c r="B138" s="163" t="str">
        <x:v>Nusrat Akter</x:v>
      </x:c>
      <x:c r="C138" s="163" t="str">
        <x:v>Female</x:v>
      </x:c>
      <x:c r="D138" s="163" t="n">
        <x:v>27</x:v>
      </x:c>
      <x:c r="E138" s="163" t="str">
        <x:v>Pabna</x:v>
      </x:c>
      <x:c r="F138" s="163" t="str">
        <x:v>SG-001</x:v>
      </x:c>
      <x:c r="G138" s="163" t="str">
        <x:v>Sabia Smart Devices Ltd.</x:v>
      </x:c>
      <x:c r="H138" s="163" t="str">
        <x:v>FAC-GZ</x:v>
      </x:c>
      <x:c r="I138" s="163" t="str">
        <x:v>210</x:v>
      </x:c>
      <x:c r="J138" s="163" t="str">
        <x:v>Smartwatch Production</x:v>
      </x:c>
      <x:c r="K138" s="163" t="str">
        <x:v>SMT Line Technician</x:v>
      </x:c>
      <x:c r="L138" s="163" t="str">
        <x:v>G2</x:v>
      </x:c>
      <x:c r="M138" s="163" t="str">
        <x:v>Permanent</x:v>
      </x:c>
      <x:c r="N138" s="163" t="str">
        <x:v>A</x:v>
      </x:c>
      <x:c r="O138" s="167" t="n">
        <x:v>46238</x:v>
      </x:c>
      <x:c r="P138" s="167" t="str"/>
      <x:c r="Q138" s="163" t="str">
        <x:v>Active</x:v>
      </x:c>
      <x:c r="R138" s="163" t="str">
        <x:v>Yes</x:v>
      </x:c>
      <x:c r="S138" s="163" t="str">
        <x:v>Precision Assembly</x:v>
      </x:c>
      <x:c r="T138" s="163" t="str">
        <x:v>Certified</x:v>
      </x:c>
      <x:c r="U138" s="169" t="n">
        <x:v>23000</x:v>
      </x:c>
      <x:c r="V138" s="169" t="n">
        <x:v>3900</x:v>
      </x:c>
      <x:c r="W138" s="169" t="n">
        <x:v>28740</x:v>
      </x:c>
      <x:c r="X138" s="163" t="str">
        <x:v>Q3</x:v>
      </x:c>
      <x:c r="Y138" s="163" t="str">
        <x:v>Yes</x:v>
      </x:c>
      <x:c r="Z138" s="163" t="n">
        <x:f>ROUND((IF(P138="",DATE(2026,12,31),P138)-O138)/30.44,0)</x:f>
        <x:v>5</x:v>
      </x:c>
      <x:c r="AA138" s="169" t="n">
        <x:f>W138*12</x:f>
        <x:v>344880</x:v>
      </x:c>
    </x:row>
    <x:row r="139">
      <x:c r="A139" s="163" t="str">
        <x:v>SG-21024082667</x:v>
      </x:c>
      <x:c r="B139" s="163" t="str">
        <x:v>Rukaiya Islam</x:v>
      </x:c>
      <x:c r="C139" s="163" t="str">
        <x:v>Female</x:v>
      </x:c>
      <x:c r="D139" s="163" t="n">
        <x:v>30</x:v>
      </x:c>
      <x:c r="E139" s="163" t="str">
        <x:v>Bogura</x:v>
      </x:c>
      <x:c r="F139" s="163" t="str">
        <x:v>SG-001</x:v>
      </x:c>
      <x:c r="G139" s="163" t="str">
        <x:v>Sabia Smart Devices Ltd.</x:v>
      </x:c>
      <x:c r="H139" s="163" t="str">
        <x:v>FAC-GZ</x:v>
      </x:c>
      <x:c r="I139" s="163" t="str">
        <x:v>210</x:v>
      </x:c>
      <x:c r="J139" s="163" t="str">
        <x:v>Smartwatch Production</x:v>
      </x:c>
      <x:c r="K139" s="163" t="str">
        <x:v>Assembly Operator</x:v>
      </x:c>
      <x:c r="L139" s="163" t="str">
        <x:v>G1</x:v>
      </x:c>
      <x:c r="M139" s="163" t="str">
        <x:v>Permanent</x:v>
      </x:c>
      <x:c r="N139" s="163" t="str">
        <x:v>A</x:v>
      </x:c>
      <x:c r="O139" s="167" t="n">
        <x:v>46258</x:v>
      </x:c>
      <x:c r="P139" s="167" t="str"/>
      <x:c r="Q139" s="163" t="str">
        <x:v>Active</x:v>
      </x:c>
      <x:c r="R139" s="163" t="str">
        <x:v>No</x:v>
      </x:c>
      <x:c r="S139" s="163" t="str">
        <x:v>Precision Assembly</x:v>
      </x:c>
      <x:c r="T139" s="163" t="str">
        <x:v>Intermediate</x:v>
      </x:c>
      <x:c r="U139" s="169" t="n">
        <x:v>21000</x:v>
      </x:c>
      <x:c r="V139" s="169" t="n">
        <x:v>3300</x:v>
      </x:c>
      <x:c r="W139" s="169" t="n">
        <x:v>25980</x:v>
      </x:c>
      <x:c r="X139" s="163" t="str">
        <x:v>Q3</x:v>
      </x:c>
      <x:c r="Y139" s="163" t="str">
        <x:v>Yes</x:v>
      </x:c>
      <x:c r="Z139" s="163" t="n">
        <x:f>ROUND((IF(P139="",DATE(2026,12,31),P139)-O139)/30.44,0)</x:f>
        <x:v>4</x:v>
      </x:c>
      <x:c r="AA139" s="169" t="n">
        <x:f>W139*12</x:f>
        <x:v>311760</x:v>
      </x:c>
    </x:row>
    <x:row r="140">
      <x:c r="A140" s="163" t="str">
        <x:v>SG-22006072614</x:v>
      </x:c>
      <x:c r="B140" s="163" t="str">
        <x:v>Nusrat Akter</x:v>
      </x:c>
      <x:c r="C140" s="163" t="str">
        <x:v>Female</x:v>
      </x:c>
      <x:c r="D140" s="163" t="n">
        <x:v>30</x:v>
      </x:c>
      <x:c r="E140" s="163" t="str">
        <x:v>Natore</x:v>
      </x:c>
      <x:c r="F140" s="163" t="str">
        <x:v>SG-001</x:v>
      </x:c>
      <x:c r="G140" s="163" t="str">
        <x:v>Sabia Smart Devices Ltd.</x:v>
      </x:c>
      <x:c r="H140" s="163" t="str">
        <x:v>FAC-GZ</x:v>
      </x:c>
      <x:c r="I140" s="163" t="str">
        <x:v>220</x:v>
      </x:c>
      <x:c r="J140" s="163" t="str">
        <x:v>Quality Assurance</x:v>
      </x:c>
      <x:c r="K140" s="163" t="str">
        <x:v>Quality Inspector</x:v>
      </x:c>
      <x:c r="L140" s="163" t="str">
        <x:v>G2</x:v>
      </x:c>
      <x:c r="M140" s="163" t="str">
        <x:v>Permanent</x:v>
      </x:c>
      <x:c r="N140" s="163" t="str">
        <x:v>B</x:v>
      </x:c>
      <x:c r="O140" s="167" t="n">
        <x:v>46209</x:v>
      </x:c>
      <x:c r="P140" s="167" t="n">
        <x:v>46303</x:v>
      </x:c>
      <x:c r="Q140" s="163" t="str">
        <x:v>Exited</x:v>
      </x:c>
      <x:c r="R140" s="163" t="str">
        <x:v>Yes</x:v>
      </x:c>
      <x:c r="S140" s="163" t="str">
        <x:v>Quality at Source</x:v>
      </x:c>
      <x:c r="T140" s="163" t="str">
        <x:v>Entry</x:v>
      </x:c>
      <x:c r="U140" s="169" t="n">
        <x:v>30000</x:v>
      </x:c>
      <x:c r="V140" s="169" t="n">
        <x:v>7000</x:v>
      </x:c>
      <x:c r="W140" s="169" t="n">
        <x:v>39400</x:v>
      </x:c>
      <x:c r="X140" s="163" t="str">
        <x:v>Q3</x:v>
      </x:c>
      <x:c r="Y140" s="163" t="str">
        <x:v>Yes</x:v>
      </x:c>
      <x:c r="Z140" s="163" t="n">
        <x:f>ROUND((IF(P140="",DATE(2026,12,31),P140)-O140)/30.44,0)</x:f>
        <x:v>3</x:v>
      </x:c>
      <x:c r="AA140" s="169" t="n">
        <x:f>W140*12</x:f>
        <x:v>472800</x:v>
      </x:c>
    </x:row>
    <x:row r="141">
      <x:c r="A141" s="163" t="str">
        <x:v>SG-22016082615</x:v>
      </x:c>
      <x:c r="B141" s="163" t="str">
        <x:v>Raisa Ahmed</x:v>
      </x:c>
      <x:c r="C141" s="163" t="str">
        <x:v>Female</x:v>
      </x:c>
      <x:c r="D141" s="163" t="n">
        <x:v>26</x:v>
      </x:c>
      <x:c r="E141" s="163" t="str">
        <x:v>Dhaka</x:v>
      </x:c>
      <x:c r="F141" s="163" t="str">
        <x:v>SG-001</x:v>
      </x:c>
      <x:c r="G141" s="163" t="str">
        <x:v>Sabia Smart Devices Ltd.</x:v>
      </x:c>
      <x:c r="H141" s="163" t="str">
        <x:v>FAC-GZ</x:v>
      </x:c>
      <x:c r="I141" s="163" t="str">
        <x:v>220</x:v>
      </x:c>
      <x:c r="J141" s="163" t="str">
        <x:v>Quality Assurance</x:v>
      </x:c>
      <x:c r="K141" s="163" t="str">
        <x:v>Quality Technician</x:v>
      </x:c>
      <x:c r="L141" s="163" t="str">
        <x:v>G3</x:v>
      </x:c>
      <x:c r="M141" s="163" t="str">
        <x:v>Permanent</x:v>
      </x:c>
      <x:c r="N141" s="163" t="str">
        <x:v>A</x:v>
      </x:c>
      <x:c r="O141" s="167" t="n">
        <x:v>46250</x:v>
      </x:c>
      <x:c r="P141" s="167" t="str"/>
      <x:c r="Q141" s="163" t="str">
        <x:v>Active</x:v>
      </x:c>
      <x:c r="R141" s="163" t="str">
        <x:v>Yes</x:v>
      </x:c>
      <x:c r="S141" s="163" t="str">
        <x:v>Quality at Source</x:v>
      </x:c>
      <x:c r="T141" s="163" t="str">
        <x:v>Entry</x:v>
      </x:c>
      <x:c r="U141" s="169" t="n">
        <x:v>39000</x:v>
      </x:c>
      <x:c r="V141" s="169" t="n">
        <x:v>7900</x:v>
      </x:c>
      <x:c r="W141" s="169" t="n">
        <x:v>50020</x:v>
      </x:c>
      <x:c r="X141" s="163" t="str">
        <x:v>Q3</x:v>
      </x:c>
      <x:c r="Y141" s="163" t="str">
        <x:v>Yes</x:v>
      </x:c>
      <x:c r="Z141" s="163" t="n">
        <x:f>ROUND((IF(P141="",DATE(2026,12,31),P141)-O141)/30.44,0)</x:f>
        <x:v>5</x:v>
      </x:c>
      <x:c r="AA141" s="169" t="n">
        <x:f>W141*12</x:f>
        <x:v>600240</x:v>
      </x:c>
    </x:row>
    <x:row r="142">
      <x:c r="A142" s="163" t="str">
        <x:v>SG-22008082616</x:v>
      </x:c>
      <x:c r="B142" s="163" t="str">
        <x:v>Sadia Alam</x:v>
      </x:c>
      <x:c r="C142" s="163" t="str">
        <x:v>Female</x:v>
      </x:c>
      <x:c r="D142" s="163" t="n">
        <x:v>37</x:v>
      </x:c>
      <x:c r="E142" s="163" t="str">
        <x:v>Noakhali</x:v>
      </x:c>
      <x:c r="F142" s="163" t="str">
        <x:v>SG-001</x:v>
      </x:c>
      <x:c r="G142" s="163" t="str">
        <x:v>Sabia Smart Devices Ltd.</x:v>
      </x:c>
      <x:c r="H142" s="163" t="str">
        <x:v>FAC-GZ</x:v>
      </x:c>
      <x:c r="I142" s="163" t="str">
        <x:v>220</x:v>
      </x:c>
      <x:c r="J142" s="163" t="str">
        <x:v>Quality Assurance</x:v>
      </x:c>
      <x:c r="K142" s="163" t="str">
        <x:v>Quality Manager</x:v>
      </x:c>
      <x:c r="L142" s="163" t="str">
        <x:v>G6</x:v>
      </x:c>
      <x:c r="M142" s="163" t="str">
        <x:v>Probation</x:v>
      </x:c>
      <x:c r="N142" s="163" t="str">
        <x:v>C</x:v>
      </x:c>
      <x:c r="O142" s="167" t="n">
        <x:v>46242</x:v>
      </x:c>
      <x:c r="P142" s="167" t="str"/>
      <x:c r="Q142" s="163" t="str">
        <x:v>Active</x:v>
      </x:c>
      <x:c r="R142" s="163" t="str">
        <x:v>Yes</x:v>
      </x:c>
      <x:c r="S142" s="163" t="str">
        <x:v>Quality at Source</x:v>
      </x:c>
      <x:c r="T142" s="163" t="str">
        <x:v>Intermediate</x:v>
      </x:c>
      <x:c r="U142" s="169" t="n">
        <x:v>114000</x:v>
      </x:c>
      <x:c r="V142" s="169" t="n">
        <x:v>17300</x:v>
      </x:c>
      <x:c r="W142" s="169" t="n">
        <x:v>140420</x:v>
      </x:c>
      <x:c r="X142" s="163" t="str">
        <x:v>Q3</x:v>
      </x:c>
      <x:c r="Y142" s="163" t="str">
        <x:v>Yes</x:v>
      </x:c>
      <x:c r="Z142" s="163" t="n">
        <x:f>ROUND((IF(P142="",DATE(2026,12,31),P142)-O142)/30.44,0)</x:f>
        <x:v>5</x:v>
      </x:c>
      <x:c r="AA142" s="169" t="n">
        <x:f>W142*12</x:f>
        <x:v>1685040</x:v>
      </x:c>
    </x:row>
    <x:row r="143">
      <x:c r="A143" s="163" t="str">
        <x:v>SG-22002092617</x:v>
      </x:c>
      <x:c r="B143" s="163" t="str">
        <x:v>Tanvir Hossain</x:v>
      </x:c>
      <x:c r="C143" s="163" t="str">
        <x:v>Male</x:v>
      </x:c>
      <x:c r="D143" s="163" t="n">
        <x:v>33</x:v>
      </x:c>
      <x:c r="E143" s="163" t="str">
        <x:v>Jashore</x:v>
      </x:c>
      <x:c r="F143" s="163" t="str">
        <x:v>SG-001</x:v>
      </x:c>
      <x:c r="G143" s="163" t="str">
        <x:v>Sabia Smart Devices Ltd.</x:v>
      </x:c>
      <x:c r="H143" s="163" t="str">
        <x:v>FAC-GZ</x:v>
      </x:c>
      <x:c r="I143" s="163" t="str">
        <x:v>220</x:v>
      </x:c>
      <x:c r="J143" s="163" t="str">
        <x:v>Quality Assurance</x:v>
      </x:c>
      <x:c r="K143" s="163" t="str">
        <x:v>QA Supervisor</x:v>
      </x:c>
      <x:c r="L143" s="163" t="str">
        <x:v>G4</x:v>
      </x:c>
      <x:c r="M143" s="163" t="str">
        <x:v>Permanent</x:v>
      </x:c>
      <x:c r="N143" s="163" t="str">
        <x:v>General</x:v>
      </x:c>
      <x:c r="O143" s="167" t="n">
        <x:v>46267</x:v>
      </x:c>
      <x:c r="P143" s="167" t="str"/>
      <x:c r="Q143" s="163" t="str">
        <x:v>Active</x:v>
      </x:c>
      <x:c r="R143" s="163" t="str">
        <x:v>Yes</x:v>
      </x:c>
      <x:c r="S143" s="163" t="str">
        <x:v>Quality at Source</x:v>
      </x:c>
      <x:c r="T143" s="163" t="str">
        <x:v>Entry</x:v>
      </x:c>
      <x:c r="U143" s="169" t="n">
        <x:v>53000</x:v>
      </x:c>
      <x:c r="V143" s="169" t="n">
        <x:v>10200</x:v>
      </x:c>
      <x:c r="W143" s="169" t="n">
        <x:v>67440</x:v>
      </x:c>
      <x:c r="X143" s="163" t="str">
        <x:v>Q3</x:v>
      </x:c>
      <x:c r="Y143" s="163" t="str">
        <x:v>Yes</x:v>
      </x:c>
      <x:c r="Z143" s="163" t="n">
        <x:f>ROUND((IF(P143="",DATE(2026,12,31),P143)-O143)/30.44,0)</x:f>
        <x:v>4</x:v>
      </x:c>
      <x:c r="AA143" s="169" t="n">
        <x:f>W143*12</x:f>
        <x:v>809280</x:v>
      </x:c>
    </x:row>
    <x:row r="144">
      <x:c r="A144" s="163" t="str">
        <x:v>SG-23030082611</x:v>
      </x:c>
      <x:c r="B144" s="163" t="str">
        <x:v>Siam Islam</x:v>
      </x:c>
      <x:c r="C144" s="163" t="str">
        <x:v>Male</x:v>
      </x:c>
      <x:c r="D144" s="163" t="n">
        <x:v>20</x:v>
      </x:c>
      <x:c r="E144" s="163" t="str">
        <x:v>Feni</x:v>
      </x:c>
      <x:c r="F144" s="163" t="str">
        <x:v>SG-001</x:v>
      </x:c>
      <x:c r="G144" s="163" t="str">
        <x:v>Sabia Smart Devices Ltd.</x:v>
      </x:c>
      <x:c r="H144" s="163" t="str">
        <x:v>FAC-GZ</x:v>
      </x:c>
      <x:c r="I144" s="163" t="str">
        <x:v>230</x:v>
      </x:c>
      <x:c r="J144" s="163" t="str">
        <x:v>Engineering and Maintenance</x:v>
      </x:c>
      <x:c r="K144" s="163" t="str">
        <x:v>Maintenance Technician</x:v>
      </x:c>
      <x:c r="L144" s="163" t="str">
        <x:v>G2</x:v>
      </x:c>
      <x:c r="M144" s="163" t="str">
        <x:v>Permanent</x:v>
      </x:c>
      <x:c r="N144" s="163" t="str">
        <x:v>A</x:v>
      </x:c>
      <x:c r="O144" s="167" t="n">
        <x:v>46264</x:v>
      </x:c>
      <x:c r="P144" s="167" t="str"/>
      <x:c r="Q144" s="163" t="str">
        <x:v>Active</x:v>
      </x:c>
      <x:c r="R144" s="163" t="str">
        <x:v>Yes</x:v>
      </x:c>
      <x:c r="S144" s="163" t="str">
        <x:v>Automation and Maintenance</x:v>
      </x:c>
      <x:c r="T144" s="163" t="str">
        <x:v>Entry</x:v>
      </x:c>
      <x:c r="U144" s="169" t="n">
        <x:v>24000</x:v>
      </x:c>
      <x:c r="V144" s="169" t="n">
        <x:v>3300</x:v>
      </x:c>
      <x:c r="W144" s="169" t="n">
        <x:v>29220</x:v>
      </x:c>
      <x:c r="X144" s="163" t="str">
        <x:v>Q3</x:v>
      </x:c>
      <x:c r="Y144" s="163" t="str">
        <x:v>Yes</x:v>
      </x:c>
      <x:c r="Z144" s="163" t="n">
        <x:f>ROUND((IF(P144="",DATE(2026,12,31),P144)-O144)/30.44,0)</x:f>
        <x:v>4</x:v>
      </x:c>
      <x:c r="AA144" s="169" t="n">
        <x:f>W144*12</x:f>
        <x:v>350640</x:v>
      </x:c>
    </x:row>
    <x:row r="145">
      <x:c r="A145" s="163" t="str">
        <x:v>SG-23001082612</x:v>
      </x:c>
      <x:c r="B145" s="163" t="str">
        <x:v>Sanjida Hasan</x:v>
      </x:c>
      <x:c r="C145" s="163" t="str">
        <x:v>Female</x:v>
      </x:c>
      <x:c r="D145" s="163" t="n">
        <x:v>36</x:v>
      </x:c>
      <x:c r="E145" s="163" t="str">
        <x:v>Narayanganj</x:v>
      </x:c>
      <x:c r="F145" s="163" t="str">
        <x:v>SG-001</x:v>
      </x:c>
      <x:c r="G145" s="163" t="str">
        <x:v>Sabia Smart Devices Ltd.</x:v>
      </x:c>
      <x:c r="H145" s="163" t="str">
        <x:v>FAC-GZ</x:v>
      </x:c>
      <x:c r="I145" s="163" t="str">
        <x:v>230</x:v>
      </x:c>
      <x:c r="J145" s="163" t="str">
        <x:v>Engineering and Maintenance</x:v>
      </x:c>
      <x:c r="K145" s="163" t="str">
        <x:v>Automation Technician</x:v>
      </x:c>
      <x:c r="L145" s="163" t="str">
        <x:v>G3</x:v>
      </x:c>
      <x:c r="M145" s="163" t="str">
        <x:v>Permanent</x:v>
      </x:c>
      <x:c r="N145" s="163" t="str">
        <x:v>B</x:v>
      </x:c>
      <x:c r="O145" s="167" t="n">
        <x:v>46235</x:v>
      </x:c>
      <x:c r="P145" s="167" t="str"/>
      <x:c r="Q145" s="163" t="str">
        <x:v>Active</x:v>
      </x:c>
      <x:c r="R145" s="163" t="str">
        <x:v>Yes</x:v>
      </x:c>
      <x:c r="S145" s="163" t="str">
        <x:v>Automation and Maintenance</x:v>
      </x:c>
      <x:c r="T145" s="163" t="str">
        <x:v>Entry</x:v>
      </x:c>
      <x:c r="U145" s="169" t="n">
        <x:v>36500</x:v>
      </x:c>
      <x:c r="V145" s="169" t="n">
        <x:v>8300</x:v>
      </x:c>
      <x:c r="W145" s="169" t="n">
        <x:v>47720</x:v>
      </x:c>
      <x:c r="X145" s="163" t="str">
        <x:v>Q3</x:v>
      </x:c>
      <x:c r="Y145" s="163" t="str">
        <x:v>Yes</x:v>
      </x:c>
      <x:c r="Z145" s="163" t="n">
        <x:f>ROUND((IF(P145="",DATE(2026,12,31),P145)-O145)/30.44,0)</x:f>
        <x:v>5</x:v>
      </x:c>
      <x:c r="AA145" s="169" t="n">
        <x:f>W145*12</x:f>
        <x:v>572640</x:v>
      </x:c>
    </x:row>
    <x:row r="146">
      <x:c r="A146" s="163" t="str">
        <x:v>SG-23013092613</x:v>
      </x:c>
      <x:c r="B146" s="163" t="str">
        <x:v>Sumaiya Rahman</x:v>
      </x:c>
      <x:c r="C146" s="163" t="str">
        <x:v>Female</x:v>
      </x:c>
      <x:c r="D146" s="163" t="n">
        <x:v>36</x:v>
      </x:c>
      <x:c r="E146" s="163" t="str">
        <x:v>Brahmanbaria</x:v>
      </x:c>
      <x:c r="F146" s="163" t="str">
        <x:v>SG-001</x:v>
      </x:c>
      <x:c r="G146" s="163" t="str">
        <x:v>Sabia Smart Devices Ltd.</x:v>
      </x:c>
      <x:c r="H146" s="163" t="str">
        <x:v>FAC-GZ</x:v>
      </x:c>
      <x:c r="I146" s="163" t="str">
        <x:v>230</x:v>
      </x:c>
      <x:c r="J146" s="163" t="str">
        <x:v>Engineering and Maintenance</x:v>
      </x:c>
      <x:c r="K146" s="163" t="str">
        <x:v>Maintenance Technician</x:v>
      </x:c>
      <x:c r="L146" s="163" t="str">
        <x:v>G2</x:v>
      </x:c>
      <x:c r="M146" s="163" t="str">
        <x:v>Permanent</x:v>
      </x:c>
      <x:c r="N146" s="163" t="str">
        <x:v>General</x:v>
      </x:c>
      <x:c r="O146" s="167" t="n">
        <x:v>46278</x:v>
      </x:c>
      <x:c r="P146" s="167" t="str"/>
      <x:c r="Q146" s="163" t="str">
        <x:v>Active</x:v>
      </x:c>
      <x:c r="R146" s="163" t="str">
        <x:v>Yes</x:v>
      </x:c>
      <x:c r="S146" s="163" t="str">
        <x:v>Automation and Maintenance</x:v>
      </x:c>
      <x:c r="T146" s="163" t="str">
        <x:v>Certified</x:v>
      </x:c>
      <x:c r="U146" s="169" t="n">
        <x:v>23000</x:v>
      </x:c>
      <x:c r="V146" s="169" t="n">
        <x:v>5000</x:v>
      </x:c>
      <x:c r="W146" s="169" t="n">
        <x:v>29840</x:v>
      </x:c>
      <x:c r="X146" s="163" t="str">
        <x:v>Q3</x:v>
      </x:c>
      <x:c r="Y146" s="163" t="str">
        <x:v>Yes</x:v>
      </x:c>
      <x:c r="Z146" s="163" t="n">
        <x:f>ROUND((IF(P146="",DATE(2026,12,31),P146)-O146)/30.44,0)</x:f>
        <x:v>4</x:v>
      </x:c>
      <x:c r="AA146" s="169" t="n">
        <x:f>W146*12</x:f>
        <x:v>358080</x:v>
      </x:c>
    </x:row>
    <x:row r="147">
      <x:c r="A147" s="163" t="str">
        <x:v>SG-24025082610</x:v>
      </x:c>
      <x:c r="B147" s="163" t="str">
        <x:v>Riyad Khan</x:v>
      </x:c>
      <x:c r="C147" s="163" t="str">
        <x:v>Male</x:v>
      </x:c>
      <x:c r="D147" s="163" t="n">
        <x:v>36</x:v>
      </x:c>
      <x:c r="E147" s="163" t="str">
        <x:v>Pabna</x:v>
      </x:c>
      <x:c r="F147" s="163" t="str">
        <x:v>SG-003</x:v>
      </x:c>
      <x:c r="G147" s="163" t="str">
        <x:v>Sabia Digital Services Ltd.</x:v>
      </x:c>
      <x:c r="H147" s="163" t="str">
        <x:v>FAC-HQ</x:v>
      </x:c>
      <x:c r="I147" s="163" t="str">
        <x:v>240</x:v>
      </x:c>
      <x:c r="J147" s="163" t="str">
        <x:v>Research and Development</x:v>
      </x:c>
      <x:c r="K147" s="163" t="str">
        <x:v>Product Test Engineer</x:v>
      </x:c>
      <x:c r="L147" s="163" t="str">
        <x:v>G4</x:v>
      </x:c>
      <x:c r="M147" s="163" t="str">
        <x:v>Permanent</x:v>
      </x:c>
      <x:c r="N147" s="163" t="str">
        <x:v>General</x:v>
      </x:c>
      <x:c r="O147" s="167" t="n">
        <x:v>46259</x:v>
      </x:c>
      <x:c r="P147" s="167" t="str"/>
      <x:c r="Q147" s="163" t="str">
        <x:v>Active</x:v>
      </x:c>
      <x:c r="R147" s="163" t="str">
        <x:v>Yes</x:v>
      </x:c>
      <x:c r="S147" s="163" t="str">
        <x:v>Embedded Systems and IoT</x:v>
      </x:c>
      <x:c r="T147" s="163" t="str">
        <x:v>Intermediate</x:v>
      </x:c>
      <x:c r="U147" s="169" t="n">
        <x:v>56500</x:v>
      </x:c>
      <x:c r="V147" s="169" t="n">
        <x:v>8100</x:v>
      </x:c>
      <x:c r="W147" s="169" t="n">
        <x:v>69120</x:v>
      </x:c>
      <x:c r="X147" s="163" t="str">
        <x:v>Q3</x:v>
      </x:c>
      <x:c r="Y147" s="163" t="str">
        <x:v>Yes</x:v>
      </x:c>
      <x:c r="Z147" s="163" t="n">
        <x:f>ROUND((IF(P147="",DATE(2026,12,31),P147)-O147)/30.44,0)</x:f>
        <x:v>4</x:v>
      </x:c>
      <x:c r="AA147" s="169" t="n">
        <x:f>W147*12</x:f>
        <x:v>829440</x:v>
      </x:c>
    </x:row>
    <x:row r="148">
      <x:c r="A148" s="163" t="str">
        <x:v>SG-24027082611</x:v>
      </x:c>
      <x:c r="B148" s="163" t="str">
        <x:v>Hasan Sultana</x:v>
      </x:c>
      <x:c r="C148" s="163" t="str">
        <x:v>Male</x:v>
      </x:c>
      <x:c r="D148" s="163" t="n">
        <x:v>35</x:v>
      </x:c>
      <x:c r="E148" s="163" t="str">
        <x:v>Cumilla</x:v>
      </x:c>
      <x:c r="F148" s="163" t="str">
        <x:v>SG-003</x:v>
      </x:c>
      <x:c r="G148" s="163" t="str">
        <x:v>Sabia Digital Services Ltd.</x:v>
      </x:c>
      <x:c r="H148" s="163" t="str">
        <x:v>FAC-HQ</x:v>
      </x:c>
      <x:c r="I148" s="163" t="str">
        <x:v>240</x:v>
      </x:c>
      <x:c r="J148" s="163" t="str">
        <x:v>Research and Development</x:v>
      </x:c>
      <x:c r="K148" s="163" t="str">
        <x:v>Product Test Engineer</x:v>
      </x:c>
      <x:c r="L148" s="163" t="str">
        <x:v>G4</x:v>
      </x:c>
      <x:c r="M148" s="163" t="str">
        <x:v>Permanent</x:v>
      </x:c>
      <x:c r="N148" s="163" t="str">
        <x:v>General</x:v>
      </x:c>
      <x:c r="O148" s="167" t="n">
        <x:v>46261</x:v>
      </x:c>
      <x:c r="P148" s="167" t="str"/>
      <x:c r="Q148" s="163" t="str">
        <x:v>Active</x:v>
      </x:c>
      <x:c r="R148" s="163" t="str">
        <x:v>Yes</x:v>
      </x:c>
      <x:c r="S148" s="163" t="str">
        <x:v>Embedded Systems and IoT</x:v>
      </x:c>
      <x:c r="T148" s="163" t="str">
        <x:v>Intermediate</x:v>
      </x:c>
      <x:c r="U148" s="169" t="n">
        <x:v>63000</x:v>
      </x:c>
      <x:c r="V148" s="169" t="n">
        <x:v>16400</x:v>
      </x:c>
      <x:c r="W148" s="169" t="n">
        <x:v>84440</x:v>
      </x:c>
      <x:c r="X148" s="163" t="str">
        <x:v>Q3</x:v>
      </x:c>
      <x:c r="Y148" s="163" t="str">
        <x:v>Yes</x:v>
      </x:c>
      <x:c r="Z148" s="163" t="n">
        <x:f>ROUND((IF(P148="",DATE(2026,12,31),P148)-O148)/30.44,0)</x:f>
        <x:v>4</x:v>
      </x:c>
      <x:c r="AA148" s="169" t="n">
        <x:f>W148*12</x:f>
        <x:v>1013280</x:v>
      </x:c>
    </x:row>
    <x:row r="149">
      <x:c r="A149" s="163" t="str">
        <x:v>SG-24026092612</x:v>
      </x:c>
      <x:c r="B149" s="163" t="str">
        <x:v>Nabil Bari</x:v>
      </x:c>
      <x:c r="C149" s="163" t="str">
        <x:v>Male</x:v>
      </x:c>
      <x:c r="D149" s="163" t="n">
        <x:v>26</x:v>
      </x:c>
      <x:c r="E149" s="163" t="str">
        <x:v>Natore</x:v>
      </x:c>
      <x:c r="F149" s="163" t="str">
        <x:v>SG-003</x:v>
      </x:c>
      <x:c r="G149" s="163" t="str">
        <x:v>Sabia Digital Services Ltd.</x:v>
      </x:c>
      <x:c r="H149" s="163" t="str">
        <x:v>FAC-HQ</x:v>
      </x:c>
      <x:c r="I149" s="163" t="str">
        <x:v>240</x:v>
      </x:c>
      <x:c r="J149" s="163" t="str">
        <x:v>Research and Development</x:v>
      </x:c>
      <x:c r="K149" s="163" t="str">
        <x:v>Firmware Engineer</x:v>
      </x:c>
      <x:c r="L149" s="163" t="str">
        <x:v>G5</x:v>
      </x:c>
      <x:c r="M149" s="163" t="str">
        <x:v>Permanent</x:v>
      </x:c>
      <x:c r="N149" s="163" t="str">
        <x:v>General</x:v>
      </x:c>
      <x:c r="O149" s="167" t="n">
        <x:v>46291</x:v>
      </x:c>
      <x:c r="P149" s="167" t="str"/>
      <x:c r="Q149" s="163" t="str">
        <x:v>Active</x:v>
      </x:c>
      <x:c r="R149" s="163" t="str">
        <x:v>Yes</x:v>
      </x:c>
      <x:c r="S149" s="163" t="str">
        <x:v>Embedded Systems and IoT</x:v>
      </x:c>
      <x:c r="T149" s="163" t="str">
        <x:v>Intermediate</x:v>
      </x:c>
      <x:c r="U149" s="169" t="n">
        <x:v>98000</x:v>
      </x:c>
      <x:c r="V149" s="169" t="n">
        <x:v>20400</x:v>
      </x:c>
      <x:c r="W149" s="169" t="n">
        <x:v>126240</x:v>
      </x:c>
      <x:c r="X149" s="163" t="str">
        <x:v>Q3</x:v>
      </x:c>
      <x:c r="Y149" s="163" t="str">
        <x:v>Yes</x:v>
      </x:c>
      <x:c r="Z149" s="163" t="n">
        <x:f>ROUND((IF(P149="",DATE(2026,12,31),P149)-O149)/30.44,0)</x:f>
        <x:v>3</x:v>
      </x:c>
      <x:c r="AA149" s="169" t="n">
        <x:f>W149*12</x:f>
        <x:v>1514880</x:v>
      </x:c>
    </x:row>
    <x:row r="150">
      <x:c r="A150" s="163" t="str">
        <x:v>SG-28012072607</x:v>
      </x:c>
      <x:c r="B150" s="163" t="str">
        <x:v>Mehedi Alam</x:v>
      </x:c>
      <x:c r="C150" s="163" t="str">
        <x:v>Male</x:v>
      </x:c>
      <x:c r="D150" s="163" t="n">
        <x:v>31</x:v>
      </x:c>
      <x:c r="E150" s="163" t="str">
        <x:v>Brahmanbaria</x:v>
      </x:c>
      <x:c r="F150" s="163" t="str">
        <x:v>SG-003</x:v>
      </x:c>
      <x:c r="G150" s="163" t="str">
        <x:v>Sabia Digital Services Ltd.</x:v>
      </x:c>
      <x:c r="H150" s="163" t="str">
        <x:v>FAC-HQ</x:v>
      </x:c>
      <x:c r="I150" s="163" t="str">
        <x:v>280</x:v>
      </x:c>
      <x:c r="J150" s="163" t="str">
        <x:v>IT Data and HRIS</x:v>
      </x:c>
      <x:c r="K150" s="163" t="str">
        <x:v>HRIS Analyst</x:v>
      </x:c>
      <x:c r="L150" s="163" t="str">
        <x:v>G4</x:v>
      </x:c>
      <x:c r="M150" s="163" t="str">
        <x:v>Permanent</x:v>
      </x:c>
      <x:c r="N150" s="163" t="str">
        <x:v>General</x:v>
      </x:c>
      <x:c r="O150" s="167" t="n">
        <x:v>46215</x:v>
      </x:c>
      <x:c r="P150" s="167" t="str"/>
      <x:c r="Q150" s="163" t="str">
        <x:v>Active</x:v>
      </x:c>
      <x:c r="R150" s="163" t="str">
        <x:v>Yes</x:v>
      </x:c>
      <x:c r="S150" s="163" t="str">
        <x:v>Data BI and HR Technology</x:v>
      </x:c>
      <x:c r="T150" s="163" t="str">
        <x:v>Entry</x:v>
      </x:c>
      <x:c r="U150" s="169" t="n">
        <x:v>62500</x:v>
      </x:c>
      <x:c r="V150" s="169" t="n">
        <x:v>16200</x:v>
      </x:c>
      <x:c r="W150" s="169" t="n">
        <x:v>83700</x:v>
      </x:c>
      <x:c r="X150" s="163" t="str">
        <x:v>Q3</x:v>
      </x:c>
      <x:c r="Y150" s="163" t="str">
        <x:v>Yes</x:v>
      </x:c>
      <x:c r="Z150" s="163" t="n">
        <x:f>ROUND((IF(P150="",DATE(2026,12,31),P150)-O150)/30.44,0)</x:f>
        <x:v>6</x:v>
      </x:c>
      <x:c r="AA150" s="169" t="n">
        <x:f>W150*12</x:f>
        <x:v>1004400</x:v>
      </x:c>
    </x:row>
    <x:row r="151">
      <x:c r="A151" s="163" t="str">
        <x:v>SG-28031082608</x:v>
      </x:c>
      <x:c r="B151" s="163" t="str">
        <x:v>Fahim Akter</x:v>
      </x:c>
      <x:c r="C151" s="163" t="str">
        <x:v>Male</x:v>
      </x:c>
      <x:c r="D151" s="163" t="n">
        <x:v>27</x:v>
      </x:c>
      <x:c r="E151" s="163" t="str">
        <x:v>Rangpur</x:v>
      </x:c>
      <x:c r="F151" s="163" t="str">
        <x:v>SG-003</x:v>
      </x:c>
      <x:c r="G151" s="163" t="str">
        <x:v>Sabia Digital Services Ltd.</x:v>
      </x:c>
      <x:c r="H151" s="163" t="str">
        <x:v>FAC-HQ</x:v>
      </x:c>
      <x:c r="I151" s="163" t="str">
        <x:v>280</x:v>
      </x:c>
      <x:c r="J151" s="163" t="str">
        <x:v>IT Data and HRIS</x:v>
      </x:c>
      <x:c r="K151" s="163" t="str">
        <x:v>IT Support Officer</x:v>
      </x:c>
      <x:c r="L151" s="163" t="str">
        <x:v>G3</x:v>
      </x:c>
      <x:c r="M151" s="163" t="str">
        <x:v>Probation</x:v>
      </x:c>
      <x:c r="N151" s="163" t="str">
        <x:v>General</x:v>
      </x:c>
      <x:c r="O151" s="167" t="n">
        <x:v>46265</x:v>
      </x:c>
      <x:c r="P151" s="167" t="str"/>
      <x:c r="Q151" s="163" t="str">
        <x:v>Active</x:v>
      </x:c>
      <x:c r="R151" s="163" t="str">
        <x:v>Yes</x:v>
      </x:c>
      <x:c r="S151" s="163" t="str">
        <x:v>Data BI and HR Technology</x:v>
      </x:c>
      <x:c r="T151" s="163" t="str">
        <x:v>Entry</x:v>
      </x:c>
      <x:c r="U151" s="169" t="n">
        <x:v>31000</x:v>
      </x:c>
      <x:c r="V151" s="169" t="n">
        <x:v>4900</x:v>
      </x:c>
      <x:c r="W151" s="169" t="n">
        <x:v>38380</x:v>
      </x:c>
      <x:c r="X151" s="163" t="str">
        <x:v>Q3</x:v>
      </x:c>
      <x:c r="Y151" s="163" t="str">
        <x:v>Yes</x:v>
      </x:c>
      <x:c r="Z151" s="163" t="n">
        <x:f>ROUND((IF(P151="",DATE(2026,12,31),P151)-O151)/30.44,0)</x:f>
        <x:v>4</x:v>
      </x:c>
      <x:c r="AA151" s="169" t="n">
        <x:f>W151*12</x:f>
        <x:v>460560</x:v>
      </x:c>
    </x:row>
    <x:row r="152">
      <x:c r="A152" s="163" t="str">
        <x:v>SG-29001082605</x:v>
      </x:c>
      <x:c r="B152" s="163" t="str">
        <x:v>Rumana Ahmed</x:v>
      </x:c>
      <x:c r="C152" s="163" t="str">
        <x:v>Female</x:v>
      </x:c>
      <x:c r="D152" s="163" t="n">
        <x:v>35</x:v>
      </x:c>
      <x:c r="E152" s="163" t="str">
        <x:v>Jashore</x:v>
      </x:c>
      <x:c r="F152" s="163" t="str">
        <x:v>SG-004</x:v>
      </x:c>
      <x:c r="G152" s="163" t="str">
        <x:v>Sabia Distribution &amp; Retail Ltd.</x:v>
      </x:c>
      <x:c r="H152" s="163" t="str">
        <x:v>FAC-CT</x:v>
      </x:c>
      <x:c r="I152" s="163" t="str">
        <x:v>290</x:v>
      </x:c>
      <x:c r="J152" s="163" t="str">
        <x:v>Sales Distribution and Service</x:v>
      </x:c>
      <x:c r="K152" s="163" t="str">
        <x:v>Service Centre Technician</x:v>
      </x:c>
      <x:c r="L152" s="163" t="str">
        <x:v>G3</x:v>
      </x:c>
      <x:c r="M152" s="163" t="str">
        <x:v>Probation</x:v>
      </x:c>
      <x:c r="N152" s="163" t="str">
        <x:v>General</x:v>
      </x:c>
      <x:c r="O152" s="167" t="n">
        <x:v>46235</x:v>
      </x:c>
      <x:c r="P152" s="167" t="str"/>
      <x:c r="Q152" s="163" t="str">
        <x:v>Active</x:v>
      </x:c>
      <x:c r="R152" s="163" t="str">
        <x:v>Yes</x:v>
      </x:c>
      <x:c r="S152" s="163" t="str">
        <x:v>Business Operations</x:v>
      </x:c>
      <x:c r="T152" s="163" t="str">
        <x:v>Entry</x:v>
      </x:c>
      <x:c r="U152" s="169" t="n">
        <x:v>33000</x:v>
      </x:c>
      <x:c r="V152" s="169" t="n">
        <x:v>6400</x:v>
      </x:c>
      <x:c r="W152" s="169" t="n">
        <x:v>42040</x:v>
      </x:c>
      <x:c r="X152" s="163" t="str">
        <x:v>Q3</x:v>
      </x:c>
      <x:c r="Y152" s="163" t="str">
        <x:v>Yes</x:v>
      </x:c>
      <x:c r="Z152" s="163" t="n">
        <x:f>ROUND((IF(P152="",DATE(2026,12,31),P152)-O152)/30.44,0)</x:f>
        <x:v>5</x:v>
      </x:c>
      <x:c r="AA152" s="169" t="n">
        <x:f>W152*12</x:f>
        <x:v>504480</x:v>
      </x:c>
    </x:row>
    <x:row r="153">
      <x:c r="A153" s="163" t="str">
        <x:v>SG-29008072606</x:v>
      </x:c>
      <x:c r="B153" s="163" t="str">
        <x:v>Tanjila Chowdhury</x:v>
      </x:c>
      <x:c r="C153" s="163" t="str">
        <x:v>Female</x:v>
      </x:c>
      <x:c r="D153" s="163" t="n">
        <x:v>36</x:v>
      </x:c>
      <x:c r="E153" s="163" t="str">
        <x:v>Rangpur</x:v>
      </x:c>
      <x:c r="F153" s="163" t="str">
        <x:v>SG-004</x:v>
      </x:c>
      <x:c r="G153" s="163" t="str">
        <x:v>Sabia Distribution &amp; Retail Ltd.</x:v>
      </x:c>
      <x:c r="H153" s="163" t="str">
        <x:v>FAC-CT</x:v>
      </x:c>
      <x:c r="I153" s="163" t="str">
        <x:v>290</x:v>
      </x:c>
      <x:c r="J153" s="163" t="str">
        <x:v>Sales Distribution and Service</x:v>
      </x:c>
      <x:c r="K153" s="163" t="str">
        <x:v>Territory Sales Officer</x:v>
      </x:c>
      <x:c r="L153" s="163" t="str">
        <x:v>G3</x:v>
      </x:c>
      <x:c r="M153" s="163" t="str">
        <x:v>Permanent</x:v>
      </x:c>
      <x:c r="N153" s="163" t="str">
        <x:v>General</x:v>
      </x:c>
      <x:c r="O153" s="167" t="n">
        <x:v>46211</x:v>
      </x:c>
      <x:c r="P153" s="167" t="str"/>
      <x:c r="Q153" s="163" t="str">
        <x:v>Active</x:v>
      </x:c>
      <x:c r="R153" s="163" t="str">
        <x:v>No</x:v>
      </x:c>
      <x:c r="S153" s="163" t="str">
        <x:v>Business Operations</x:v>
      </x:c>
      <x:c r="T153" s="163" t="str">
        <x:v>Entry</x:v>
      </x:c>
      <x:c r="U153" s="169" t="n">
        <x:v>33000</x:v>
      </x:c>
      <x:c r="V153" s="169" t="n">
        <x:v>5800</x:v>
      </x:c>
      <x:c r="W153" s="169" t="n">
        <x:v>41440</x:v>
      </x:c>
      <x:c r="X153" s="163" t="str">
        <x:v>Q3</x:v>
      </x:c>
      <x:c r="Y153" s="163" t="str">
        <x:v>Yes</x:v>
      </x:c>
      <x:c r="Z153" s="163" t="n">
        <x:f>ROUND((IF(P153="",DATE(2026,12,31),P153)-O153)/30.44,0)</x:f>
        <x:v>6</x:v>
      </x:c>
      <x:c r="AA153" s="169" t="n">
        <x:f>W153*12</x:f>
        <x:v>497280</x:v>
      </x:c>
    </x:row>
    <x:row r="154">
      <x:c r="A154" s="163" t="str">
        <x:v>SG-25008092608</x:v>
      </x:c>
      <x:c r="B154" s="163" t="str">
        <x:v>Shakil Alam</x:v>
      </x:c>
      <x:c r="C154" s="163" t="str">
        <x:v>Male</x:v>
      </x:c>
      <x:c r="D154" s="163" t="n">
        <x:v>25</x:v>
      </x:c>
      <x:c r="E154" s="163" t="str">
        <x:v>Chattogram</x:v>
      </x:c>
      <x:c r="F154" s="163" t="str">
        <x:v>SG-002</x:v>
      </x:c>
      <x:c r="G154" s="163" t="str">
        <x:v>Sabia Components &amp; Packaging Ltd.</x:v>
      </x:c>
      <x:c r="H154" s="163" t="str">
        <x:v>FAC-NJ</x:v>
      </x:c>
      <x:c r="I154" s="163" t="str">
        <x:v>250</x:v>
      </x:c>
      <x:c r="J154" s="163" t="str">
        <x:v>Supply Chain and Planning</x:v>
      </x:c>
      <x:c r="K154" s="163" t="str">
        <x:v>Demand Planner</x:v>
      </x:c>
      <x:c r="L154" s="163" t="str">
        <x:v>G4</x:v>
      </x:c>
      <x:c r="M154" s="163" t="str">
        <x:v>Permanent</x:v>
      </x:c>
      <x:c r="N154" s="163" t="str">
        <x:v>General</x:v>
      </x:c>
      <x:c r="O154" s="167" t="n">
        <x:v>46273</x:v>
      </x:c>
      <x:c r="P154" s="167" t="str"/>
      <x:c r="Q154" s="163" t="str">
        <x:v>Active</x:v>
      </x:c>
      <x:c r="R154" s="163" t="str">
        <x:v>No</x:v>
      </x:c>
      <x:c r="S154" s="163" t="str">
        <x:v>Business Operations</x:v>
      </x:c>
      <x:c r="T154" s="163" t="str">
        <x:v>Intermediate</x:v>
      </x:c>
      <x:c r="U154" s="169" t="n">
        <x:v>60500</x:v>
      </x:c>
      <x:c r="V154" s="169" t="n">
        <x:v>10500</x:v>
      </x:c>
      <x:c r="W154" s="169" t="n">
        <x:v>75840</x:v>
      </x:c>
      <x:c r="X154" s="163" t="str">
        <x:v>Q3</x:v>
      </x:c>
      <x:c r="Y154" s="163" t="str">
        <x:v>Yes</x:v>
      </x:c>
      <x:c r="Z154" s="163" t="n">
        <x:f>ROUND((IF(P154="",DATE(2026,12,31),P154)-O154)/30.44,0)</x:f>
        <x:v>4</x:v>
      </x:c>
      <x:c r="AA154" s="169" t="n">
        <x:f>W154*12</x:f>
        <x:v>910080</x:v>
      </x:c>
    </x:row>
    <x:row r="155">
      <x:c r="A155" s="163" t="str">
        <x:v>SG-25028072609</x:v>
      </x:c>
      <x:c r="B155" s="163" t="str">
        <x:v>Arafat Karim</x:v>
      </x:c>
      <x:c r="C155" s="163" t="str">
        <x:v>Male</x:v>
      </x:c>
      <x:c r="D155" s="163" t="n">
        <x:v>31</x:v>
      </x:c>
      <x:c r="E155" s="163" t="str">
        <x:v>Mymensingh</x:v>
      </x:c>
      <x:c r="F155" s="163" t="str">
        <x:v>SG-002</x:v>
      </x:c>
      <x:c r="G155" s="163" t="str">
        <x:v>Sabia Components &amp; Packaging Ltd.</x:v>
      </x:c>
      <x:c r="H155" s="163" t="str">
        <x:v>FAC-NJ</x:v>
      </x:c>
      <x:c r="I155" s="163" t="str">
        <x:v>250</x:v>
      </x:c>
      <x:c r="J155" s="163" t="str">
        <x:v>Supply Chain and Planning</x:v>
      </x:c>
      <x:c r="K155" s="163" t="str">
        <x:v>Supply Chain Manager</x:v>
      </x:c>
      <x:c r="L155" s="163" t="str">
        <x:v>G6</x:v>
      </x:c>
      <x:c r="M155" s="163" t="str">
        <x:v>Permanent</x:v>
      </x:c>
      <x:c r="N155" s="163" t="str">
        <x:v>General</x:v>
      </x:c>
      <x:c r="O155" s="167" t="n">
        <x:v>46231</x:v>
      </x:c>
      <x:c r="P155" s="167" t="str"/>
      <x:c r="Q155" s="163" t="str">
        <x:v>Active</x:v>
      </x:c>
      <x:c r="R155" s="163" t="str">
        <x:v>No</x:v>
      </x:c>
      <x:c r="S155" s="163" t="str">
        <x:v>Business Operations</x:v>
      </x:c>
      <x:c r="T155" s="163" t="str">
        <x:v>Certified</x:v>
      </x:c>
      <x:c r="U155" s="169" t="n">
        <x:v>147000</x:v>
      </x:c>
      <x:c r="V155" s="169" t="n">
        <x:v>26000</x:v>
      </x:c>
      <x:c r="W155" s="169" t="n">
        <x:v>184760</x:v>
      </x:c>
      <x:c r="X155" s="163" t="str">
        <x:v>Q3</x:v>
      </x:c>
      <x:c r="Y155" s="163" t="str">
        <x:v>Yes</x:v>
      </x:c>
      <x:c r="Z155" s="163" t="n">
        <x:f>ROUND((IF(P155="",DATE(2026,12,31),P155)-O155)/30.44,0)</x:f>
        <x:v>5</x:v>
      </x:c>
      <x:c r="AA155" s="169" t="n">
        <x:f>W155*12</x:f>
        <x:v>2217120</x:v>
      </x:c>
    </x:row>
    <x:row r="156">
      <x:c r="A156" s="163" t="str">
        <x:v>SG-12724092608</x:v>
      </x:c>
      <x:c r="B156" s="163" t="str">
        <x:v>Mim Alam</x:v>
      </x:c>
      <x:c r="C156" s="163" t="str">
        <x:v>Female</x:v>
      </x:c>
      <x:c r="D156" s="163" t="n">
        <x:v>28</x:v>
      </x:c>
      <x:c r="E156" s="163" t="str">
        <x:v>Bogura</x:v>
      </x:c>
      <x:c r="F156" s="163" t="str">
        <x:v>SG-003</x:v>
      </x:c>
      <x:c r="G156" s="163" t="str">
        <x:v>Sabia Digital Services Ltd.</x:v>
      </x:c>
      <x:c r="H156" s="163" t="str">
        <x:v>FAC-HQ</x:v>
      </x:c>
      <x:c r="I156" s="163" t="str">
        <x:v>127</x:v>
      </x:c>
      <x:c r="J156" s="163" t="str">
        <x:v>Human Resources and People</x:v>
      </x:c>
      <x:c r="K156" s="163" t="str">
        <x:v>HRIS Officer</x:v>
      </x:c>
      <x:c r="L156" s="163" t="str">
        <x:v>G3</x:v>
      </x:c>
      <x:c r="M156" s="163" t="str">
        <x:v>Probation</x:v>
      </x:c>
      <x:c r="N156" s="163" t="str">
        <x:v>General</x:v>
      </x:c>
      <x:c r="O156" s="167" t="n">
        <x:v>46289</x:v>
      </x:c>
      <x:c r="P156" s="167" t="str"/>
      <x:c r="Q156" s="163" t="str">
        <x:v>Active</x:v>
      </x:c>
      <x:c r="R156" s="163" t="str">
        <x:v>No</x:v>
      </x:c>
      <x:c r="S156" s="163" t="str">
        <x:v>People Strategy and HRBP</x:v>
      </x:c>
      <x:c r="T156" s="163" t="str">
        <x:v>Intermediate</x:v>
      </x:c>
      <x:c r="U156" s="169" t="n">
        <x:v>44000</x:v>
      </x:c>
      <x:c r="V156" s="169" t="n">
        <x:v>8000</x:v>
      </x:c>
      <x:c r="W156" s="169" t="n">
        <x:v>55520</x:v>
      </x:c>
      <x:c r="X156" s="163" t="str">
        <x:v>Q3</x:v>
      </x:c>
      <x:c r="Y156" s="163" t="str">
        <x:v>Yes</x:v>
      </x:c>
      <x:c r="Z156" s="163" t="n">
        <x:f>ROUND((IF(P156="",DATE(2026,12,31),P156)-O156)/30.44,0)</x:f>
        <x:v>3</x:v>
      </x:c>
      <x:c r="AA156" s="169" t="n">
        <x:f>W156*12</x:f>
        <x:v>666240</x:v>
      </x:c>
    </x:row>
    <x:row r="157">
      <x:c r="A157" s="163" t="str">
        <x:v>SG-27005082605</x:v>
      </x:c>
      <x:c r="B157" s="163" t="str">
        <x:v>Nabil Karim</x:v>
      </x:c>
      <x:c r="C157" s="163" t="str">
        <x:v>Male</x:v>
      </x:c>
      <x:c r="D157" s="163" t="n">
        <x:v>33</x:v>
      </x:c>
      <x:c r="E157" s="163" t="str">
        <x:v>Natore</x:v>
      </x:c>
      <x:c r="F157" s="163" t="str">
        <x:v>SG-003</x:v>
      </x:c>
      <x:c r="G157" s="163" t="str">
        <x:v>Sabia Digital Services Ltd.</x:v>
      </x:c>
      <x:c r="H157" s="163" t="str">
        <x:v>FAC-HQ</x:v>
      </x:c>
      <x:c r="I157" s="163" t="str">
        <x:v>270</x:v>
      </x:c>
      <x:c r="J157" s="163" t="str">
        <x:v>Finance and Accounts</x:v>
      </x:c>
      <x:c r="K157" s="163" t="str">
        <x:v>Costing Analyst</x:v>
      </x:c>
      <x:c r="L157" s="163" t="str">
        <x:v>G4</x:v>
      </x:c>
      <x:c r="M157" s="163" t="str">
        <x:v>Contract</x:v>
      </x:c>
      <x:c r="N157" s="163" t="str">
        <x:v>General</x:v>
      </x:c>
      <x:c r="O157" s="167" t="n">
        <x:v>46239</x:v>
      </x:c>
      <x:c r="P157" s="167" t="str"/>
      <x:c r="Q157" s="163" t="str">
        <x:v>Active</x:v>
      </x:c>
      <x:c r="R157" s="163" t="str">
        <x:v>No</x:v>
      </x:c>
      <x:c r="S157" s="163" t="str">
        <x:v>Business Operations</x:v>
      </x:c>
      <x:c r="T157" s="163" t="str">
        <x:v>Certified</x:v>
      </x:c>
      <x:c r="U157" s="169" t="n">
        <x:v>65500</x:v>
      </x:c>
      <x:c r="V157" s="169" t="n">
        <x:v>15900</x:v>
      </x:c>
      <x:c r="W157" s="169" t="n">
        <x:v>86640</x:v>
      </x:c>
      <x:c r="X157" s="163" t="str">
        <x:v>Q3</x:v>
      </x:c>
      <x:c r="Y157" s="163" t="str">
        <x:v>Yes</x:v>
      </x:c>
      <x:c r="Z157" s="163" t="n">
        <x:f>ROUND((IF(P157="",DATE(2026,12,31),P157)-O157)/30.44,0)</x:f>
        <x:v>5</x:v>
      </x:c>
      <x:c r="AA157" s="169" t="n">
        <x:f>W157*12</x:f>
        <x:v>1039680</x:v>
      </x:c>
    </x:row>
    <x:row r="158">
      <x:c r="A158" s="163" t="str">
        <x:v>SG-21011102668</x:v>
      </x:c>
      <x:c r="B158" s="163" t="str">
        <x:v>Shahriar Sultana</x:v>
      </x:c>
      <x:c r="C158" s="163" t="str">
        <x:v>Male</x:v>
      </x:c>
      <x:c r="D158" s="163" t="n">
        <x:v>26</x:v>
      </x:c>
      <x:c r="E158" s="163" t="str">
        <x:v>Brahmanbaria</x:v>
      </x:c>
      <x:c r="F158" s="163" t="str">
        <x:v>SG-001</x:v>
      </x:c>
      <x:c r="G158" s="163" t="str">
        <x:v>Sabia Smart Devices Ltd.</x:v>
      </x:c>
      <x:c r="H158" s="163" t="str">
        <x:v>FAC-GZ</x:v>
      </x:c>
      <x:c r="I158" s="163" t="str">
        <x:v>210</x:v>
      </x:c>
      <x:c r="J158" s="163" t="str">
        <x:v>Smartwatch Production</x:v>
      </x:c>
      <x:c r="K158" s="163" t="str">
        <x:v>Assembly Operator</x:v>
      </x:c>
      <x:c r="L158" s="163" t="str">
        <x:v>G1</x:v>
      </x:c>
      <x:c r="M158" s="163" t="str">
        <x:v>Probation</x:v>
      </x:c>
      <x:c r="N158" s="163" t="str">
        <x:v>B</x:v>
      </x:c>
      <x:c r="O158" s="167" t="n">
        <x:v>46306</x:v>
      </x:c>
      <x:c r="P158" s="167" t="str"/>
      <x:c r="Q158" s="163" t="str">
        <x:v>Active</x:v>
      </x:c>
      <x:c r="R158" s="163" t="str">
        <x:v>No</x:v>
      </x:c>
      <x:c r="S158" s="163" t="str">
        <x:v>Precision Assembly</x:v>
      </x:c>
      <x:c r="T158" s="163" t="str">
        <x:v>Intermediate</x:v>
      </x:c>
      <x:c r="U158" s="169" t="n">
        <x:v>17500</x:v>
      </x:c>
      <x:c r="V158" s="169" t="n">
        <x:v>2300</x:v>
      </x:c>
      <x:c r="W158" s="169" t="n">
        <x:v>21200</x:v>
      </x:c>
      <x:c r="X158" s="163" t="str">
        <x:v>Q4</x:v>
      </x:c>
      <x:c r="Y158" s="163" t="str">
        <x:v>Yes</x:v>
      </x:c>
      <x:c r="Z158" s="163" t="n">
        <x:f>ROUND((IF(P158="",DATE(2026,12,31),P158)-O158)/30.44,0)</x:f>
        <x:v>3</x:v>
      </x:c>
      <x:c r="AA158" s="169" t="n">
        <x:f>W158*12</x:f>
        <x:v>254400</x:v>
      </x:c>
    </x:row>
    <x:row r="159">
      <x:c r="A159" s="163" t="str">
        <x:v>SG-21021102669</x:v>
      </x:c>
      <x:c r="B159" s="163" t="str">
        <x:v>Siam Karim</x:v>
      </x:c>
      <x:c r="C159" s="163" t="str">
        <x:v>Male</x:v>
      </x:c>
      <x:c r="D159" s="163" t="n">
        <x:v>35</x:v>
      </x:c>
      <x:c r="E159" s="163" t="str">
        <x:v>Bogura</x:v>
      </x:c>
      <x:c r="F159" s="163" t="str">
        <x:v>SG-001</x:v>
      </x:c>
      <x:c r="G159" s="163" t="str">
        <x:v>Sabia Smart Devices Ltd.</x:v>
      </x:c>
      <x:c r="H159" s="163" t="str">
        <x:v>FAC-GZ</x:v>
      </x:c>
      <x:c r="I159" s="163" t="str">
        <x:v>210</x:v>
      </x:c>
      <x:c r="J159" s="163" t="str">
        <x:v>Smartwatch Production</x:v>
      </x:c>
      <x:c r="K159" s="163" t="str">
        <x:v>Production Supervisor</x:v>
      </x:c>
      <x:c r="L159" s="163" t="str">
        <x:v>G4</x:v>
      </x:c>
      <x:c r="M159" s="163" t="str">
        <x:v>Permanent</x:v>
      </x:c>
      <x:c r="N159" s="163" t="str">
        <x:v>C</x:v>
      </x:c>
      <x:c r="O159" s="167" t="n">
        <x:v>46316</x:v>
      </x:c>
      <x:c r="P159" s="167" t="str"/>
      <x:c r="Q159" s="163" t="str">
        <x:v>Active</x:v>
      </x:c>
      <x:c r="R159" s="163" t="str">
        <x:v>No</x:v>
      </x:c>
      <x:c r="S159" s="163" t="str">
        <x:v>Precision Assembly</x:v>
      </x:c>
      <x:c r="T159" s="163" t="str">
        <x:v>Intermediate</x:v>
      </x:c>
      <x:c r="U159" s="169" t="n">
        <x:v>66500</x:v>
      </x:c>
      <x:c r="V159" s="169" t="n">
        <x:v>12600</x:v>
      </x:c>
      <x:c r="W159" s="169" t="n">
        <x:v>84420</x:v>
      </x:c>
      <x:c r="X159" s="163" t="str">
        <x:v>Q4</x:v>
      </x:c>
      <x:c r="Y159" s="163" t="str">
        <x:v>Yes</x:v>
      </x:c>
      <x:c r="Z159" s="163" t="n">
        <x:f>ROUND((IF(P159="",DATE(2026,12,31),P159)-O159)/30.44,0)</x:f>
        <x:v>2</x:v>
      </x:c>
      <x:c r="AA159" s="169" t="n">
        <x:f>W159*12</x:f>
        <x:v>1013040</x:v>
      </x:c>
    </x:row>
    <x:row r="160">
      <x:c r="A160" s="163" t="str">
        <x:v>SG-21011122670</x:v>
      </x:c>
      <x:c r="B160" s="163" t="str">
        <x:v>Siam Ahmed</x:v>
      </x:c>
      <x:c r="C160" s="163" t="str">
        <x:v>Male</x:v>
      </x:c>
      <x:c r="D160" s="163" t="n">
        <x:v>29</x:v>
      </x:c>
      <x:c r="E160" s="163" t="str">
        <x:v>Rajshahi</x:v>
      </x:c>
      <x:c r="F160" s="163" t="str">
        <x:v>SG-001</x:v>
      </x:c>
      <x:c r="G160" s="163" t="str">
        <x:v>Sabia Smart Devices Ltd.</x:v>
      </x:c>
      <x:c r="H160" s="163" t="str">
        <x:v>FAC-GZ</x:v>
      </x:c>
      <x:c r="I160" s="163" t="str">
        <x:v>210</x:v>
      </x:c>
      <x:c r="J160" s="163" t="str">
        <x:v>Smartwatch Production</x:v>
      </x:c>
      <x:c r="K160" s="163" t="str">
        <x:v>SMT Line Technician</x:v>
      </x:c>
      <x:c r="L160" s="163" t="str">
        <x:v>G2</x:v>
      </x:c>
      <x:c r="M160" s="163" t="str">
        <x:v>Permanent</x:v>
      </x:c>
      <x:c r="N160" s="163" t="str">
        <x:v>B</x:v>
      </x:c>
      <x:c r="O160" s="167" t="n">
        <x:v>46367</x:v>
      </x:c>
      <x:c r="P160" s="167" t="str"/>
      <x:c r="Q160" s="163" t="str">
        <x:v>Active</x:v>
      </x:c>
      <x:c r="R160" s="163" t="str">
        <x:v>Yes</x:v>
      </x:c>
      <x:c r="S160" s="163" t="str">
        <x:v>Precision Assembly</x:v>
      </x:c>
      <x:c r="T160" s="163" t="str">
        <x:v>Advanced</x:v>
      </x:c>
      <x:c r="U160" s="169" t="n">
        <x:v>25500</x:v>
      </x:c>
      <x:c r="V160" s="169" t="n">
        <x:v>3400</x:v>
      </x:c>
      <x:c r="W160" s="169" t="n">
        <x:v>30940</x:v>
      </x:c>
      <x:c r="X160" s="163" t="str">
        <x:v>Q4</x:v>
      </x:c>
      <x:c r="Y160" s="163" t="str">
        <x:v>Yes</x:v>
      </x:c>
      <x:c r="Z160" s="163" t="n">
        <x:f>ROUND((IF(P160="",DATE(2026,12,31),P160)-O160)/30.44,0)</x:f>
        <x:v>1</x:v>
      </x:c>
      <x:c r="AA160" s="169" t="n">
        <x:f>W160*12</x:f>
        <x:v>371280</x:v>
      </x:c>
    </x:row>
    <x:row r="161">
      <x:c r="A161" s="163" t="str">
        <x:v>SG-21025102671</x:v>
      </x:c>
      <x:c r="B161" s="163" t="str">
        <x:v>Rafi Hossain</x:v>
      </x:c>
      <x:c r="C161" s="163" t="str">
        <x:v>Male</x:v>
      </x:c>
      <x:c r="D161" s="163" t="n">
        <x:v>28</x:v>
      </x:c>
      <x:c r="E161" s="163" t="str">
        <x:v>Mymensingh</x:v>
      </x:c>
      <x:c r="F161" s="163" t="str">
        <x:v>SG-001</x:v>
      </x:c>
      <x:c r="G161" s="163" t="str">
        <x:v>Sabia Smart Devices Ltd.</x:v>
      </x:c>
      <x:c r="H161" s="163" t="str">
        <x:v>FAC-GZ</x:v>
      </x:c>
      <x:c r="I161" s="163" t="str">
        <x:v>210</x:v>
      </x:c>
      <x:c r="J161" s="163" t="str">
        <x:v>Smartwatch Production</x:v>
      </x:c>
      <x:c r="K161" s="163" t="str">
        <x:v>Assembly Operator</x:v>
      </x:c>
      <x:c r="L161" s="163" t="str">
        <x:v>G1</x:v>
      </x:c>
      <x:c r="M161" s="163" t="str">
        <x:v>Permanent</x:v>
      </x:c>
      <x:c r="N161" s="163" t="str">
        <x:v>B</x:v>
      </x:c>
      <x:c r="O161" s="167" t="n">
        <x:v>46320</x:v>
      </x:c>
      <x:c r="P161" s="167" t="str"/>
      <x:c r="Q161" s="163" t="str">
        <x:v>Active</x:v>
      </x:c>
      <x:c r="R161" s="163" t="str">
        <x:v>No</x:v>
      </x:c>
      <x:c r="S161" s="163" t="str">
        <x:v>Precision Assembly</x:v>
      </x:c>
      <x:c r="T161" s="163" t="str">
        <x:v>Entry</x:v>
      </x:c>
      <x:c r="U161" s="169" t="n">
        <x:v>19000</x:v>
      </x:c>
      <x:c r="V161" s="169" t="n">
        <x:v>4900</x:v>
      </x:c>
      <x:c r="W161" s="169" t="n">
        <x:v>25420</x:v>
      </x:c>
      <x:c r="X161" s="163" t="str">
        <x:v>Q4</x:v>
      </x:c>
      <x:c r="Y161" s="163" t="str">
        <x:v>Yes</x:v>
      </x:c>
      <x:c r="Z161" s="163" t="n">
        <x:f>ROUND((IF(P161="",DATE(2026,12,31),P161)-O161)/30.44,0)</x:f>
        <x:v>2</x:v>
      </x:c>
      <x:c r="AA161" s="169" t="n">
        <x:f>W161*12</x:f>
        <x:v>305040</x:v>
      </x:c>
    </x:row>
    <x:row r="162">
      <x:c r="A162" s="163" t="str">
        <x:v>SG-21007122672</x:v>
      </x:c>
      <x:c r="B162" s="163" t="str">
        <x:v>Riyad Sultana</x:v>
      </x:c>
      <x:c r="C162" s="163" t="str">
        <x:v>Male</x:v>
      </x:c>
      <x:c r="D162" s="163" t="n">
        <x:v>33</x:v>
      </x:c>
      <x:c r="E162" s="163" t="str">
        <x:v>Feni</x:v>
      </x:c>
      <x:c r="F162" s="163" t="str">
        <x:v>SG-001</x:v>
      </x:c>
      <x:c r="G162" s="163" t="str">
        <x:v>Sabia Smart Devices Ltd.</x:v>
      </x:c>
      <x:c r="H162" s="163" t="str">
        <x:v>FAC-GZ</x:v>
      </x:c>
      <x:c r="I162" s="163" t="str">
        <x:v>210</x:v>
      </x:c>
      <x:c r="J162" s="163" t="str">
        <x:v>Smartwatch Production</x:v>
      </x:c>
      <x:c r="K162" s="163" t="str">
        <x:v>Precision Assembly Technician</x:v>
      </x:c>
      <x:c r="L162" s="163" t="str">
        <x:v>G2</x:v>
      </x:c>
      <x:c r="M162" s="163" t="str">
        <x:v>Probation</x:v>
      </x:c>
      <x:c r="N162" s="163" t="str">
        <x:v>C</x:v>
      </x:c>
      <x:c r="O162" s="167" t="n">
        <x:v>46363</x:v>
      </x:c>
      <x:c r="P162" s="167" t="str"/>
      <x:c r="Q162" s="163" t="str">
        <x:v>Active</x:v>
      </x:c>
      <x:c r="R162" s="163" t="str">
        <x:v>Yes</x:v>
      </x:c>
      <x:c r="S162" s="163" t="str">
        <x:v>Precision Assembly</x:v>
      </x:c>
      <x:c r="T162" s="163" t="str">
        <x:v>Entry</x:v>
      </x:c>
      <x:c r="U162" s="169" t="n">
        <x:v>24000</x:v>
      </x:c>
      <x:c r="V162" s="169" t="n">
        <x:v>5600</x:v>
      </x:c>
      <x:c r="W162" s="169" t="n">
        <x:v>31520</x:v>
      </x:c>
      <x:c r="X162" s="163" t="str">
        <x:v>Q4</x:v>
      </x:c>
      <x:c r="Y162" s="163" t="str">
        <x:v>Yes</x:v>
      </x:c>
      <x:c r="Z162" s="163" t="n">
        <x:f>ROUND((IF(P162="",DATE(2026,12,31),P162)-O162)/30.44,0)</x:f>
        <x:v>1</x:v>
      </x:c>
      <x:c r="AA162" s="169" t="n">
        <x:f>W162*12</x:f>
        <x:v>378240</x:v>
      </x:c>
    </x:row>
    <x:row r="163">
      <x:c r="A163" s="163" t="str">
        <x:v>SG-21007102673</x:v>
      </x:c>
      <x:c r="B163" s="163" t="str">
        <x:v>Nabila Karim</x:v>
      </x:c>
      <x:c r="C163" s="163" t="str">
        <x:v>Female</x:v>
      </x:c>
      <x:c r="D163" s="163" t="n">
        <x:v>33</x:v>
      </x:c>
      <x:c r="E163" s="163" t="str">
        <x:v>Narayanganj</x:v>
      </x:c>
      <x:c r="F163" s="163" t="str">
        <x:v>SG-001</x:v>
      </x:c>
      <x:c r="G163" s="163" t="str">
        <x:v>Sabia Smart Devices Ltd.</x:v>
      </x:c>
      <x:c r="H163" s="163" t="str">
        <x:v>FAC-GZ</x:v>
      </x:c>
      <x:c r="I163" s="163" t="str">
        <x:v>210</x:v>
      </x:c>
      <x:c r="J163" s="163" t="str">
        <x:v>Smartwatch Production</x:v>
      </x:c>
      <x:c r="K163" s="163" t="str">
        <x:v>Precision Assembly Technician</x:v>
      </x:c>
      <x:c r="L163" s="163" t="str">
        <x:v>G2</x:v>
      </x:c>
      <x:c r="M163" s="163" t="str">
        <x:v>Permanent</x:v>
      </x:c>
      <x:c r="N163" s="163" t="str">
        <x:v>C</x:v>
      </x:c>
      <x:c r="O163" s="167" t="n">
        <x:v>46302</x:v>
      </x:c>
      <x:c r="P163" s="167" t="str"/>
      <x:c r="Q163" s="163" t="str">
        <x:v>Active</x:v>
      </x:c>
      <x:c r="R163" s="163" t="str">
        <x:v>Yes</x:v>
      </x:c>
      <x:c r="S163" s="163" t="str">
        <x:v>Precision Assembly</x:v>
      </x:c>
      <x:c r="T163" s="163" t="str">
        <x:v>Intermediate</x:v>
      </x:c>
      <x:c r="U163" s="169" t="n">
        <x:v>29000</x:v>
      </x:c>
      <x:c r="V163" s="169" t="n">
        <x:v>5200</x:v>
      </x:c>
      <x:c r="W163" s="169" t="n">
        <x:v>36520</x:v>
      </x:c>
      <x:c r="X163" s="163" t="str">
        <x:v>Q4</x:v>
      </x:c>
      <x:c r="Y163" s="163" t="str">
        <x:v>Yes</x:v>
      </x:c>
      <x:c r="Z163" s="163" t="n">
        <x:f>ROUND((IF(P163="",DATE(2026,12,31),P163)-O163)/30.44,0)</x:f>
        <x:v>3</x:v>
      </x:c>
      <x:c r="AA163" s="169" t="n">
        <x:f>W163*12</x:f>
        <x:v>438240</x:v>
      </x:c>
    </x:row>
    <x:row r="164">
      <x:c r="A164" s="163" t="str">
        <x:v>SG-21004122674</x:v>
      </x:c>
      <x:c r="B164" s="163" t="str">
        <x:v>Arafat Islam</x:v>
      </x:c>
      <x:c r="C164" s="163" t="str">
        <x:v>Male</x:v>
      </x:c>
      <x:c r="D164" s="163" t="n">
        <x:v>32</x:v>
      </x:c>
      <x:c r="E164" s="163" t="str">
        <x:v>Gazipur</x:v>
      </x:c>
      <x:c r="F164" s="163" t="str">
        <x:v>SG-001</x:v>
      </x:c>
      <x:c r="G164" s="163" t="str">
        <x:v>Sabia Smart Devices Ltd.</x:v>
      </x:c>
      <x:c r="H164" s="163" t="str">
        <x:v>FAC-GZ</x:v>
      </x:c>
      <x:c r="I164" s="163" t="str">
        <x:v>210</x:v>
      </x:c>
      <x:c r="J164" s="163" t="str">
        <x:v>Smartwatch Production</x:v>
      </x:c>
      <x:c r="K164" s="163" t="str">
        <x:v>Assembly Operator</x:v>
      </x:c>
      <x:c r="L164" s="163" t="str">
        <x:v>G1</x:v>
      </x:c>
      <x:c r="M164" s="163" t="str">
        <x:v>Permanent</x:v>
      </x:c>
      <x:c r="N164" s="163" t="str">
        <x:v>A</x:v>
      </x:c>
      <x:c r="O164" s="167" t="n">
        <x:v>46360</x:v>
      </x:c>
      <x:c r="P164" s="167" t="str"/>
      <x:c r="Q164" s="163" t="str">
        <x:v>Active</x:v>
      </x:c>
      <x:c r="R164" s="163" t="str">
        <x:v>No</x:v>
      </x:c>
      <x:c r="S164" s="163" t="str">
        <x:v>Precision Assembly</x:v>
      </x:c>
      <x:c r="T164" s="163" t="str">
        <x:v>Entry</x:v>
      </x:c>
      <x:c r="U164" s="169" t="n">
        <x:v>20000</x:v>
      </x:c>
      <x:c r="V164" s="169" t="n">
        <x:v>4200</x:v>
      </x:c>
      <x:c r="W164" s="169" t="n">
        <x:v>25800</x:v>
      </x:c>
      <x:c r="X164" s="163" t="str">
        <x:v>Q4</x:v>
      </x:c>
      <x:c r="Y164" s="163" t="str">
        <x:v>Yes</x:v>
      </x:c>
      <x:c r="Z164" s="163" t="n">
        <x:f>ROUND((IF(P164="",DATE(2026,12,31),P164)-O164)/30.44,0)</x:f>
        <x:v>1</x:v>
      </x:c>
      <x:c r="AA164" s="169" t="n">
        <x:f>W164*12</x:f>
        <x:v>309600</x:v>
      </x:c>
    </x:row>
    <x:row r="165">
      <x:c r="A165" s="163" t="str">
        <x:v>SG-21020112675</x:v>
      </x:c>
      <x:c r="B165" s="163" t="str">
        <x:v>Jubayer Alam</x:v>
      </x:c>
      <x:c r="C165" s="163" t="str">
        <x:v>Male</x:v>
      </x:c>
      <x:c r="D165" s="163" t="n">
        <x:v>29</x:v>
      </x:c>
      <x:c r="E165" s="163" t="str">
        <x:v>Chattogram</x:v>
      </x:c>
      <x:c r="F165" s="163" t="str">
        <x:v>SG-001</x:v>
      </x:c>
      <x:c r="G165" s="163" t="str">
        <x:v>Sabia Smart Devices Ltd.</x:v>
      </x:c>
      <x:c r="H165" s="163" t="str">
        <x:v>FAC-GZ</x:v>
      </x:c>
      <x:c r="I165" s="163" t="str">
        <x:v>210</x:v>
      </x:c>
      <x:c r="J165" s="163" t="str">
        <x:v>Smartwatch Production</x:v>
      </x:c>
      <x:c r="K165" s="163" t="str">
        <x:v>SMT Line Technician</x:v>
      </x:c>
      <x:c r="L165" s="163" t="str">
        <x:v>G2</x:v>
      </x:c>
      <x:c r="M165" s="163" t="str">
        <x:v>Permanent</x:v>
      </x:c>
      <x:c r="N165" s="163" t="str">
        <x:v>A</x:v>
      </x:c>
      <x:c r="O165" s="167" t="n">
        <x:v>46346</x:v>
      </x:c>
      <x:c r="P165" s="167" t="str"/>
      <x:c r="Q165" s="163" t="str">
        <x:v>Active</x:v>
      </x:c>
      <x:c r="R165" s="163" t="str">
        <x:v>Yes</x:v>
      </x:c>
      <x:c r="S165" s="163" t="str">
        <x:v>Precision Assembly</x:v>
      </x:c>
      <x:c r="T165" s="163" t="str">
        <x:v>Certified</x:v>
      </x:c>
      <x:c r="U165" s="169" t="n">
        <x:v>26000</x:v>
      </x:c>
      <x:c r="V165" s="169" t="n">
        <x:v>4700</x:v>
      </x:c>
      <x:c r="W165" s="169" t="n">
        <x:v>32780</x:v>
      </x:c>
      <x:c r="X165" s="163" t="str">
        <x:v>Q4</x:v>
      </x:c>
      <x:c r="Y165" s="163" t="str">
        <x:v>Yes</x:v>
      </x:c>
      <x:c r="Z165" s="163" t="n">
        <x:f>ROUND((IF(P165="",DATE(2026,12,31),P165)-O165)/30.44,0)</x:f>
        <x:v>1</x:v>
      </x:c>
      <x:c r="AA165" s="169" t="n">
        <x:f>W165*12</x:f>
        <x:v>393360</x:v>
      </x:c>
    </x:row>
    <x:row r="166">
      <x:c r="A166" s="163" t="str">
        <x:v>SG-22023102618</x:v>
      </x:c>
      <x:c r="B166" s="163" t="str">
        <x:v>Sanjida Bari</x:v>
      </x:c>
      <x:c r="C166" s="163" t="str">
        <x:v>Female</x:v>
      </x:c>
      <x:c r="D166" s="163" t="n">
        <x:v>26</x:v>
      </x:c>
      <x:c r="E166" s="163" t="str">
        <x:v>Cumilla</x:v>
      </x:c>
      <x:c r="F166" s="163" t="str">
        <x:v>SG-001</x:v>
      </x:c>
      <x:c r="G166" s="163" t="str">
        <x:v>Sabia Smart Devices Ltd.</x:v>
      </x:c>
      <x:c r="H166" s="163" t="str">
        <x:v>FAC-GZ</x:v>
      </x:c>
      <x:c r="I166" s="163" t="str">
        <x:v>220</x:v>
      </x:c>
      <x:c r="J166" s="163" t="str">
        <x:v>Quality Assurance</x:v>
      </x:c>
      <x:c r="K166" s="163" t="str">
        <x:v>Quality Inspector</x:v>
      </x:c>
      <x:c r="L166" s="163" t="str">
        <x:v>G2</x:v>
      </x:c>
      <x:c r="M166" s="163" t="str">
        <x:v>Permanent</x:v>
      </x:c>
      <x:c r="N166" s="163" t="str">
        <x:v>A</x:v>
      </x:c>
      <x:c r="O166" s="167" t="n">
        <x:v>46318</x:v>
      </x:c>
      <x:c r="P166" s="167" t="str"/>
      <x:c r="Q166" s="163" t="str">
        <x:v>Active</x:v>
      </x:c>
      <x:c r="R166" s="163" t="str">
        <x:v>Yes</x:v>
      </x:c>
      <x:c r="S166" s="163" t="str">
        <x:v>Quality at Source</x:v>
      </x:c>
      <x:c r="T166" s="163" t="str">
        <x:v>Certified</x:v>
      </x:c>
      <x:c r="U166" s="169" t="n">
        <x:v>24500</x:v>
      </x:c>
      <x:c r="V166" s="169" t="n">
        <x:v>3200</x:v>
      </x:c>
      <x:c r="W166" s="169" t="n">
        <x:v>29660</x:v>
      </x:c>
      <x:c r="X166" s="163" t="str">
        <x:v>Q4</x:v>
      </x:c>
      <x:c r="Y166" s="163" t="str">
        <x:v>Yes</x:v>
      </x:c>
      <x:c r="Z166" s="163" t="n">
        <x:f>ROUND((IF(P166="",DATE(2026,12,31),P166)-O166)/30.44,0)</x:f>
        <x:v>2</x:v>
      </x:c>
      <x:c r="AA166" s="169" t="n">
        <x:f>W166*12</x:f>
        <x:v>355920</x:v>
      </x:c>
    </x:row>
    <x:row r="167">
      <x:c r="A167" s="163" t="str">
        <x:v>SG-22029112619</x:v>
      </x:c>
      <x:c r="B167" s="163" t="str">
        <x:v>Raisa Islam</x:v>
      </x:c>
      <x:c r="C167" s="163" t="str">
        <x:v>Female</x:v>
      </x:c>
      <x:c r="D167" s="163" t="n">
        <x:v>30</x:v>
      </x:c>
      <x:c r="E167" s="163" t="str">
        <x:v>Mymensingh</x:v>
      </x:c>
      <x:c r="F167" s="163" t="str">
        <x:v>SG-001</x:v>
      </x:c>
      <x:c r="G167" s="163" t="str">
        <x:v>Sabia Smart Devices Ltd.</x:v>
      </x:c>
      <x:c r="H167" s="163" t="str">
        <x:v>FAC-GZ</x:v>
      </x:c>
      <x:c r="I167" s="163" t="str">
        <x:v>220</x:v>
      </x:c>
      <x:c r="J167" s="163" t="str">
        <x:v>Quality Assurance</x:v>
      </x:c>
      <x:c r="K167" s="163" t="str">
        <x:v>Quality Technician</x:v>
      </x:c>
      <x:c r="L167" s="163" t="str">
        <x:v>G3</x:v>
      </x:c>
      <x:c r="M167" s="163" t="str">
        <x:v>Contract</x:v>
      </x:c>
      <x:c r="N167" s="163" t="str">
        <x:v>C</x:v>
      </x:c>
      <x:c r="O167" s="167" t="n">
        <x:v>46355</x:v>
      </x:c>
      <x:c r="P167" s="167" t="str"/>
      <x:c r="Q167" s="163" t="str">
        <x:v>Active</x:v>
      </x:c>
      <x:c r="R167" s="163" t="str">
        <x:v>Yes</x:v>
      </x:c>
      <x:c r="S167" s="163" t="str">
        <x:v>Quality at Source</x:v>
      </x:c>
      <x:c r="T167" s="163" t="str">
        <x:v>Intermediate</x:v>
      </x:c>
      <x:c r="U167" s="169" t="n">
        <x:v>32000</x:v>
      </x:c>
      <x:c r="V167" s="169" t="n">
        <x:v>6000</x:v>
      </x:c>
      <x:c r="W167" s="169" t="n">
        <x:v>40560</x:v>
      </x:c>
      <x:c r="X167" s="163" t="str">
        <x:v>Q4</x:v>
      </x:c>
      <x:c r="Y167" s="163" t="str">
        <x:v>Yes</x:v>
      </x:c>
      <x:c r="Z167" s="163" t="n">
        <x:f>ROUND((IF(P167="",DATE(2026,12,31),P167)-O167)/30.44,0)</x:f>
        <x:v>1</x:v>
      </x:c>
      <x:c r="AA167" s="169" t="n">
        <x:f>W167*12</x:f>
        <x:v>486720</x:v>
      </x:c>
    </x:row>
    <x:row r="168">
      <x:c r="A168" s="163" t="str">
        <x:v>SG-23001102614</x:v>
      </x:c>
      <x:c r="B168" s="163" t="str">
        <x:v>Tasmia Hasan</x:v>
      </x:c>
      <x:c r="C168" s="163" t="str">
        <x:v>Female</x:v>
      </x:c>
      <x:c r="D168" s="163" t="n">
        <x:v>34</x:v>
      </x:c>
      <x:c r="E168" s="163" t="str">
        <x:v>Kushtia</x:v>
      </x:c>
      <x:c r="F168" s="163" t="str">
        <x:v>SG-001</x:v>
      </x:c>
      <x:c r="G168" s="163" t="str">
        <x:v>Sabia Smart Devices Ltd.</x:v>
      </x:c>
      <x:c r="H168" s="163" t="str">
        <x:v>FAC-GZ</x:v>
      </x:c>
      <x:c r="I168" s="163" t="str">
        <x:v>230</x:v>
      </x:c>
      <x:c r="J168" s="163" t="str">
        <x:v>Engineering and Maintenance</x:v>
      </x:c>
      <x:c r="K168" s="163" t="str">
        <x:v>Industrial Engineer</x:v>
      </x:c>
      <x:c r="L168" s="163" t="str">
        <x:v>G4</x:v>
      </x:c>
      <x:c r="M168" s="163" t="str">
        <x:v>Permanent</x:v>
      </x:c>
      <x:c r="N168" s="163" t="str">
        <x:v>C</x:v>
      </x:c>
      <x:c r="O168" s="167" t="n">
        <x:v>46296</x:v>
      </x:c>
      <x:c r="P168" s="167" t="str"/>
      <x:c r="Q168" s="163" t="str">
        <x:v>Active</x:v>
      </x:c>
      <x:c r="R168" s="163" t="str">
        <x:v>Yes</x:v>
      </x:c>
      <x:c r="S168" s="163" t="str">
        <x:v>Automation and Maintenance</x:v>
      </x:c>
      <x:c r="T168" s="163" t="str">
        <x:v>Intermediate</x:v>
      </x:c>
      <x:c r="U168" s="169" t="n">
        <x:v>56500</x:v>
      </x:c>
      <x:c r="V168" s="169" t="n">
        <x:v>7200</x:v>
      </x:c>
      <x:c r="W168" s="169" t="n">
        <x:v>68220</x:v>
      </x:c>
      <x:c r="X168" s="163" t="str">
        <x:v>Q4</x:v>
      </x:c>
      <x:c r="Y168" s="163" t="str">
        <x:v>Yes</x:v>
      </x:c>
      <x:c r="Z168" s="163" t="n">
        <x:f>ROUND((IF(P168="",DATE(2026,12,31),P168)-O168)/30.44,0)</x:f>
        <x:v>3</x:v>
      </x:c>
      <x:c r="AA168" s="169" t="n">
        <x:f>W168*12</x:f>
        <x:v>818640</x:v>
      </x:c>
    </x:row>
    <x:row r="169">
      <x:c r="A169" s="163" t="str">
        <x:v>SG-23004112615</x:v>
      </x:c>
      <x:c r="B169" s="163" t="str">
        <x:v>Sabrina Rahman</x:v>
      </x:c>
      <x:c r="C169" s="163" t="str">
        <x:v>Female</x:v>
      </x:c>
      <x:c r="D169" s="163" t="n">
        <x:v>30</x:v>
      </x:c>
      <x:c r="E169" s="163" t="str">
        <x:v>Rangpur</x:v>
      </x:c>
      <x:c r="F169" s="163" t="str">
        <x:v>SG-001</x:v>
      </x:c>
      <x:c r="G169" s="163" t="str">
        <x:v>Sabia Smart Devices Ltd.</x:v>
      </x:c>
      <x:c r="H169" s="163" t="str">
        <x:v>FAC-GZ</x:v>
      </x:c>
      <x:c r="I169" s="163" t="str">
        <x:v>230</x:v>
      </x:c>
      <x:c r="J169" s="163" t="str">
        <x:v>Engineering and Maintenance</x:v>
      </x:c>
      <x:c r="K169" s="163" t="str">
        <x:v>Maintenance Engineer</x:v>
      </x:c>
      <x:c r="L169" s="163" t="str">
        <x:v>G4</x:v>
      </x:c>
      <x:c r="M169" s="163" t="str">
        <x:v>Permanent</x:v>
      </x:c>
      <x:c r="N169" s="163" t="str">
        <x:v>B</x:v>
      </x:c>
      <x:c r="O169" s="167" t="n">
        <x:v>46330</x:v>
      </x:c>
      <x:c r="P169" s="167" t="str"/>
      <x:c r="Q169" s="163" t="str">
        <x:v>Active</x:v>
      </x:c>
      <x:c r="R169" s="163" t="str">
        <x:v>Yes</x:v>
      </x:c>
      <x:c r="S169" s="163" t="str">
        <x:v>Automation and Maintenance</x:v>
      </x:c>
      <x:c r="T169" s="163" t="str">
        <x:v>Certified</x:v>
      </x:c>
      <x:c r="U169" s="169" t="n">
        <x:v>49000</x:v>
      </x:c>
      <x:c r="V169" s="169" t="n">
        <x:v>7000</x:v>
      </x:c>
      <x:c r="W169" s="169" t="n">
        <x:v>59920</x:v>
      </x:c>
      <x:c r="X169" s="163" t="str">
        <x:v>Q4</x:v>
      </x:c>
      <x:c r="Y169" s="163" t="str">
        <x:v>Yes</x:v>
      </x:c>
      <x:c r="Z169" s="163" t="n">
        <x:f>ROUND((IF(P169="",DATE(2026,12,31),P169)-O169)/30.44,0)</x:f>
        <x:v>2</x:v>
      </x:c>
      <x:c r="AA169" s="169" t="n">
        <x:f>W169*12</x:f>
        <x:v>719040</x:v>
      </x:c>
    </x:row>
    <x:row r="170">
      <x:c r="A170" s="163" t="str">
        <x:v>SG-24017102613</x:v>
      </x:c>
      <x:c r="B170" s="163" t="str">
        <x:v>Arafat Bari</x:v>
      </x:c>
      <x:c r="C170" s="163" t="str">
        <x:v>Male</x:v>
      </x:c>
      <x:c r="D170" s="163" t="n">
        <x:v>36</x:v>
      </x:c>
      <x:c r="E170" s="163" t="str">
        <x:v>Rangpur</x:v>
      </x:c>
      <x:c r="F170" s="163" t="str">
        <x:v>SG-003</x:v>
      </x:c>
      <x:c r="G170" s="163" t="str">
        <x:v>Sabia Digital Services Ltd.</x:v>
      </x:c>
      <x:c r="H170" s="163" t="str">
        <x:v>FAC-HQ</x:v>
      </x:c>
      <x:c r="I170" s="163" t="str">
        <x:v>240</x:v>
      </x:c>
      <x:c r="J170" s="163" t="str">
        <x:v>Research and Development</x:v>
      </x:c>
      <x:c r="K170" s="163" t="str">
        <x:v>Product Test Engineer</x:v>
      </x:c>
      <x:c r="L170" s="163" t="str">
        <x:v>G4</x:v>
      </x:c>
      <x:c r="M170" s="163" t="str">
        <x:v>Permanent</x:v>
      </x:c>
      <x:c r="N170" s="163" t="str">
        <x:v>General</x:v>
      </x:c>
      <x:c r="O170" s="167" t="n">
        <x:v>46312</x:v>
      </x:c>
      <x:c r="P170" s="167" t="str"/>
      <x:c r="Q170" s="163" t="str">
        <x:v>Active</x:v>
      </x:c>
      <x:c r="R170" s="163" t="str">
        <x:v>Yes</x:v>
      </x:c>
      <x:c r="S170" s="163" t="str">
        <x:v>Embedded Systems and IoT</x:v>
      </x:c>
      <x:c r="T170" s="163" t="str">
        <x:v>Intermediate</x:v>
      </x:c>
      <x:c r="U170" s="169" t="n">
        <x:v>65500</x:v>
      </x:c>
      <x:c r="V170" s="169" t="n">
        <x:v>14000</x:v>
      </x:c>
      <x:c r="W170" s="169" t="n">
        <x:v>84740</x:v>
      </x:c>
      <x:c r="X170" s="163" t="str">
        <x:v>Q4</x:v>
      </x:c>
      <x:c r="Y170" s="163" t="str">
        <x:v>Yes</x:v>
      </x:c>
      <x:c r="Z170" s="163" t="n">
        <x:f>ROUND((IF(P170="",DATE(2026,12,31),P170)-O170)/30.44,0)</x:f>
        <x:v>2</x:v>
      </x:c>
      <x:c r="AA170" s="169" t="n">
        <x:f>W170*12</x:f>
        <x:v>1016880</x:v>
      </x:c>
    </x:row>
    <x:row r="171">
      <x:c r="A171" s="163" t="str">
        <x:v>SG-24024102614</x:v>
      </x:c>
      <x:c r="B171" s="163" t="str">
        <x:v>Rakib Ahmed</x:v>
      </x:c>
      <x:c r="C171" s="163" t="str">
        <x:v>Male</x:v>
      </x:c>
      <x:c r="D171" s="163" t="n">
        <x:v>37</x:v>
      </x:c>
      <x:c r="E171" s="163" t="str">
        <x:v>Mymensingh</x:v>
      </x:c>
      <x:c r="F171" s="163" t="str">
        <x:v>SG-003</x:v>
      </x:c>
      <x:c r="G171" s="163" t="str">
        <x:v>Sabia Digital Services Ltd.</x:v>
      </x:c>
      <x:c r="H171" s="163" t="str">
        <x:v>FAC-HQ</x:v>
      </x:c>
      <x:c r="I171" s="163" t="str">
        <x:v>240</x:v>
      </x:c>
      <x:c r="J171" s="163" t="str">
        <x:v>Research and Development</x:v>
      </x:c>
      <x:c r="K171" s="163" t="str">
        <x:v>Product Test Engineer</x:v>
      </x:c>
      <x:c r="L171" s="163" t="str">
        <x:v>G4</x:v>
      </x:c>
      <x:c r="M171" s="163" t="str">
        <x:v>Permanent</x:v>
      </x:c>
      <x:c r="N171" s="163" t="str">
        <x:v>General</x:v>
      </x:c>
      <x:c r="O171" s="167" t="n">
        <x:v>46319</x:v>
      </x:c>
      <x:c r="P171" s="167" t="str"/>
      <x:c r="Q171" s="163" t="str">
        <x:v>Active</x:v>
      </x:c>
      <x:c r="R171" s="163" t="str">
        <x:v>Yes</x:v>
      </x:c>
      <x:c r="S171" s="163" t="str">
        <x:v>Embedded Systems and IoT</x:v>
      </x:c>
      <x:c r="T171" s="163" t="str">
        <x:v>Certified</x:v>
      </x:c>
      <x:c r="U171" s="169" t="n">
        <x:v>50500</x:v>
      </x:c>
      <x:c r="V171" s="169" t="n">
        <x:v>11000</x:v>
      </x:c>
      <x:c r="W171" s="169" t="n">
        <x:v>65540</x:v>
      </x:c>
      <x:c r="X171" s="163" t="str">
        <x:v>Q4</x:v>
      </x:c>
      <x:c r="Y171" s="163" t="str">
        <x:v>Yes</x:v>
      </x:c>
      <x:c r="Z171" s="163" t="n">
        <x:f>ROUND((IF(P171="",DATE(2026,12,31),P171)-O171)/30.44,0)</x:f>
        <x:v>2</x:v>
      </x:c>
      <x:c r="AA171" s="169" t="n">
        <x:f>W171*12</x:f>
        <x:v>786480</x:v>
      </x:c>
    </x:row>
    <x:row r="172">
      <x:c r="A172" s="163" t="str">
        <x:v>SG-29031102607</x:v>
      </x:c>
      <x:c r="B172" s="163" t="str">
        <x:v>Farzana Rahman</x:v>
      </x:c>
      <x:c r="C172" s="163" t="str">
        <x:v>Female</x:v>
      </x:c>
      <x:c r="D172" s="163" t="n">
        <x:v>32</x:v>
      </x:c>
      <x:c r="E172" s="163" t="str">
        <x:v>Pabna</x:v>
      </x:c>
      <x:c r="F172" s="163" t="str">
        <x:v>SG-004</x:v>
      </x:c>
      <x:c r="G172" s="163" t="str">
        <x:v>Sabia Distribution &amp; Retail Ltd.</x:v>
      </x:c>
      <x:c r="H172" s="163" t="str">
        <x:v>FAC-CT</x:v>
      </x:c>
      <x:c r="I172" s="163" t="str">
        <x:v>290</x:v>
      </x:c>
      <x:c r="J172" s="163" t="str">
        <x:v>Sales Distribution and Service</x:v>
      </x:c>
      <x:c r="K172" s="163" t="str">
        <x:v>Distribution Executive</x:v>
      </x:c>
      <x:c r="L172" s="163" t="str">
        <x:v>G3</x:v>
      </x:c>
      <x:c r="M172" s="163" t="str">
        <x:v>Permanent</x:v>
      </x:c>
      <x:c r="N172" s="163" t="str">
        <x:v>General</x:v>
      </x:c>
      <x:c r="O172" s="167" t="n">
        <x:v>46326</x:v>
      </x:c>
      <x:c r="P172" s="167" t="str"/>
      <x:c r="Q172" s="163" t="str">
        <x:v>Active</x:v>
      </x:c>
      <x:c r="R172" s="163" t="str">
        <x:v>No</x:v>
      </x:c>
      <x:c r="S172" s="163" t="str">
        <x:v>Business Operations</x:v>
      </x:c>
      <x:c r="T172" s="163" t="str">
        <x:v>Intermediate</x:v>
      </x:c>
      <x:c r="U172" s="169" t="n">
        <x:v>34500</x:v>
      </x:c>
      <x:c r="V172" s="169" t="n">
        <x:v>8000</x:v>
      </x:c>
      <x:c r="W172" s="169" t="n">
        <x:v>45260</x:v>
      </x:c>
      <x:c r="X172" s="163" t="str">
        <x:v>Q4</x:v>
      </x:c>
      <x:c r="Y172" s="163" t="str">
        <x:v>Yes</x:v>
      </x:c>
      <x:c r="Z172" s="163" t="n">
        <x:f>ROUND((IF(P172="",DATE(2026,12,31),P172)-O172)/30.44,0)</x:f>
        <x:v>2</x:v>
      </x:c>
      <x:c r="AA172" s="169" t="n">
        <x:f>W172*12</x:f>
        <x:v>543120</x:v>
      </x:c>
    </x:row>
    <x:row r="173">
      <x:c r="A173" s="163" t="str">
        <x:v>SG-29013102608</x:v>
      </x:c>
      <x:c r="B173" s="163" t="str">
        <x:v>Nayeem Karim</x:v>
      </x:c>
      <x:c r="C173" s="163" t="str">
        <x:v>Male</x:v>
      </x:c>
      <x:c r="D173" s="163" t="n">
        <x:v>39</x:v>
      </x:c>
      <x:c r="E173" s="163" t="str">
        <x:v>Pabna</x:v>
      </x:c>
      <x:c r="F173" s="163" t="str">
        <x:v>SG-004</x:v>
      </x:c>
      <x:c r="G173" s="163" t="str">
        <x:v>Sabia Distribution &amp; Retail Ltd.</x:v>
      </x:c>
      <x:c r="H173" s="163" t="str">
        <x:v>FAC-CT</x:v>
      </x:c>
      <x:c r="I173" s="163" t="str">
        <x:v>290</x:v>
      </x:c>
      <x:c r="J173" s="163" t="str">
        <x:v>Sales Distribution and Service</x:v>
      </x:c>
      <x:c r="K173" s="163" t="str">
        <x:v>Service Centre Technician</x:v>
      </x:c>
      <x:c r="L173" s="163" t="str">
        <x:v>G3</x:v>
      </x:c>
      <x:c r="M173" s="163" t="str">
        <x:v>Permanent</x:v>
      </x:c>
      <x:c r="N173" s="163" t="str">
        <x:v>General</x:v>
      </x:c>
      <x:c r="O173" s="167" t="n">
        <x:v>46308</x:v>
      </x:c>
      <x:c r="P173" s="167" t="str"/>
      <x:c r="Q173" s="163" t="str">
        <x:v>Active</x:v>
      </x:c>
      <x:c r="R173" s="163" t="str">
        <x:v>Yes</x:v>
      </x:c>
      <x:c r="S173" s="163" t="str">
        <x:v>Business Operations</x:v>
      </x:c>
      <x:c r="T173" s="163" t="str">
        <x:v>Certified</x:v>
      </x:c>
      <x:c r="U173" s="169" t="n">
        <x:v>31000</x:v>
      </x:c>
      <x:c r="V173" s="169" t="n">
        <x:v>5500</x:v>
      </x:c>
      <x:c r="W173" s="169" t="n">
        <x:v>38980</x:v>
      </x:c>
      <x:c r="X173" s="163" t="str">
        <x:v>Q4</x:v>
      </x:c>
      <x:c r="Y173" s="163" t="str">
        <x:v>Yes</x:v>
      </x:c>
      <x:c r="Z173" s="163" t="n">
        <x:f>ROUND((IF(P173="",DATE(2026,12,31),P173)-O173)/30.44,0)</x:f>
        <x:v>3</x:v>
      </x:c>
      <x:c r="AA173" s="169" t="n">
        <x:f>W173*12</x:f>
        <x:v>467760</x:v>
      </x:c>
    </x:row>
    <x:row r="174">
      <x:c r="A174" s="163" t="str">
        <x:v>SG-12718112609</x:v>
      </x:c>
      <x:c r="B174" s="163" t="str">
        <x:v>Imran Jahan</x:v>
      </x:c>
      <x:c r="C174" s="163" t="str">
        <x:v>Male</x:v>
      </x:c>
      <x:c r="D174" s="163" t="n">
        <x:v>37</x:v>
      </x:c>
      <x:c r="E174" s="163" t="str">
        <x:v>Kushtia</x:v>
      </x:c>
      <x:c r="F174" s="163" t="str">
        <x:v>SG-003</x:v>
      </x:c>
      <x:c r="G174" s="163" t="str">
        <x:v>Sabia Digital Services Ltd.</x:v>
      </x:c>
      <x:c r="H174" s="163" t="str">
        <x:v>FAC-HQ</x:v>
      </x:c>
      <x:c r="I174" s="163" t="str">
        <x:v>127</x:v>
      </x:c>
      <x:c r="J174" s="163" t="str">
        <x:v>Human Resources and People</x:v>
      </x:c>
      <x:c r="K174" s="163" t="str">
        <x:v>Head of HR and Acting CHRO / Lead HRBP</x:v>
      </x:c>
      <x:c r="L174" s="163" t="str">
        <x:v>G7</x:v>
      </x:c>
      <x:c r="M174" s="163" t="str">
        <x:v>Permanent</x:v>
      </x:c>
      <x:c r="N174" s="163" t="str">
        <x:v>General</x:v>
      </x:c>
      <x:c r="O174" s="167" t="n">
        <x:v>46344</x:v>
      </x:c>
      <x:c r="P174" s="167" t="str"/>
      <x:c r="Q174" s="163" t="str">
        <x:v>Active</x:v>
      </x:c>
      <x:c r="R174" s="163" t="str">
        <x:v>No</x:v>
      </x:c>
      <x:c r="S174" s="163" t="str">
        <x:v>People Strategy and HRBP</x:v>
      </x:c>
      <x:c r="T174" s="163" t="str">
        <x:v>Entry</x:v>
      </x:c>
      <x:c r="U174" s="169" t="n">
        <x:v>208000</x:v>
      </x:c>
      <x:c r="V174" s="169" t="n">
        <x:v>35600</x:v>
      </x:c>
      <x:c r="W174" s="169" t="n">
        <x:v>260240</x:v>
      </x:c>
      <x:c r="X174" s="163" t="str">
        <x:v>Q4</x:v>
      </x:c>
      <x:c r="Y174" s="163" t="str">
        <x:v>Yes</x:v>
      </x:c>
      <x:c r="Z174" s="163" t="n">
        <x:f>ROUND((IF(P174="",DATE(2026,12,31),P174)-O174)/30.44,0)</x:f>
        <x:v>1</x:v>
      </x:c>
      <x:c r="AA174" s="169" t="n">
        <x:f>W174*12</x:f>
        <x:v>3122880</x:v>
      </x:c>
    </x:row>
    <x:row r="175">
      <x:c r="A175" s="163" t="str">
        <x:v>SG-28025112609</x:v>
      </x:c>
      <x:c r="B175" s="163" t="str">
        <x:v>Fahim Hasan</x:v>
      </x:c>
      <x:c r="C175" s="163" t="str">
        <x:v>Male</x:v>
      </x:c>
      <x:c r="D175" s="163" t="n">
        <x:v>33</x:v>
      </x:c>
      <x:c r="E175" s="163" t="str">
        <x:v>Mymensingh</x:v>
      </x:c>
      <x:c r="F175" s="163" t="str">
        <x:v>SG-003</x:v>
      </x:c>
      <x:c r="G175" s="163" t="str">
        <x:v>Sabia Digital Services Ltd.</x:v>
      </x:c>
      <x:c r="H175" s="163" t="str">
        <x:v>FAC-HQ</x:v>
      </x:c>
      <x:c r="I175" s="163" t="str">
        <x:v>280</x:v>
      </x:c>
      <x:c r="J175" s="163" t="str">
        <x:v>IT Data and HRIS</x:v>
      </x:c>
      <x:c r="K175" s="163" t="str">
        <x:v>IT Manager</x:v>
      </x:c>
      <x:c r="L175" s="163" t="str">
        <x:v>G6</x:v>
      </x:c>
      <x:c r="M175" s="163" t="str">
        <x:v>Permanent</x:v>
      </x:c>
      <x:c r="N175" s="163" t="str">
        <x:v>General</x:v>
      </x:c>
      <x:c r="O175" s="167" t="n">
        <x:v>46351</x:v>
      </x:c>
      <x:c r="P175" s="167" t="str"/>
      <x:c r="Q175" s="163" t="str">
        <x:v>Active</x:v>
      </x:c>
      <x:c r="R175" s="163" t="str">
        <x:v>Yes</x:v>
      </x:c>
      <x:c r="S175" s="163" t="str">
        <x:v>Data BI and HR Technology</x:v>
      </x:c>
      <x:c r="T175" s="163" t="str">
        <x:v>Advanced</x:v>
      </x:c>
      <x:c r="U175" s="169" t="n">
        <x:v>127500</x:v>
      </x:c>
      <x:c r="V175" s="169" t="n">
        <x:v>26600</x:v>
      </x:c>
      <x:c r="W175" s="169" t="n">
        <x:v>164300</x:v>
      </x:c>
      <x:c r="X175" s="163" t="str">
        <x:v>Q4</x:v>
      </x:c>
      <x:c r="Y175" s="163" t="str">
        <x:v>Yes</x:v>
      </x:c>
      <x:c r="Z175" s="163" t="n">
        <x:f>ROUND((IF(P175="",DATE(2026,12,31),P175)-O175)/30.44,0)</x:f>
        <x:v>1</x:v>
      </x:c>
      <x:c r="AA175" s="169" t="n">
        <x:f>W175*12</x:f>
        <x:v>1971600</x:v>
      </x:c>
    </x:row>
  </x:sheetData>
  <x:mergeCells>
    <x:mergeCell ref="A1:AA2"/>
    <x:mergeCell ref="A3:AA3"/>
  </x:mergeCells>
  <x:conditionalFormatting sqref="Z6:Z175">
    <x:cfRule type="dataBar" priority="1">
      <x:dataBar>
        <x:cfvo type="min"/>
        <x:cfvo type="max"/>
        <x:color rgb="FF0F766E"/>
      </x:dataBar>
      <x:extLst>
        <x:ext xmlns:x14="http://schemas.microsoft.com/office/spreadsheetml/2009/9/main" uri="{B025F937-C7B1-47D3-B67F-A62EFF666E3E}">
          <x14:id>{2BBAA061-4ACD-E633-4599-98EB78BD6B39}</x14:id>
        </x:ext>
      </x:extLst>
    </x:cfRule>
  </x:conditionalFormatting>
  <x:pageMargins left="0.7" right="0.7" top="0.75" bottom="0.75" header="0.3" footer="0.3"/>
  <x:tableParts count="1">
    <x:tablePart xmlns:r="http://schemas.openxmlformats.org/officeDocument/2006/relationships" r:id="Refb14cd66cd84661"/>
  </x:tableParts>
  <x:extLst>
    <x:ext xmlns:x14="http://schemas.microsoft.com/office/spreadsheetml/2009/9/main" xmlns:xm="http://schemas.microsoft.com/office/excel/2006/main" uri="{78C0D931-6437-407d-A8EE-F0AAD7539E65}">
      <x14:conditionalFormattings>
        <x14:conditionalFormatting>
          <x14:cfRule type="dataBar" priority="1" id="{2BBAA061-4ACD-E633-4599-98EB78BD6B39}">
            <x14:dataBar gradient="1">
              <x14:cfvo type="min"/>
              <x14:cfvo type="max"/>
              <x14:fillColor rgb="FF0F766E"/>
            </x14:dataBar>
          </x14:cfRule>
          <xm:sqref>Z6:Z175</xm:sqref>
        </x14:conditionalFormatting>
      </x14:conditionalFormattings>
    </x:ext>
  </x:extLst>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28" hidden="0" customWidth="1"/>
    <x:col min="4" max="4" width="28" hidden="0" customWidth="1"/>
    <x:col min="5" max="5" width="13" hidden="0" customWidth="1"/>
    <x:col min="6" max="6" width="13" hidden="0" customWidth="1"/>
    <x:col min="7" max="7" width="32" hidden="0" customWidth="1"/>
    <x:col min="8" max="8" width="38"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x:c r="A1" s="88" t="str">
        <x:v>Q1 Workforce Reset and Ethical Review</x:v>
      </x:c>
      <x:c r="B1" s="88"/>
      <x:c r="C1" s="88"/>
      <x:c r="D1" s="88"/>
      <x:c r="E1" s="88"/>
      <x:c r="F1" s="88"/>
      <x:c r="G1" s="88"/>
      <x:c r="H1" s="88"/>
      <x:c r="I1" s="88"/>
      <x:c r="J1" s="88"/>
      <x:c r="K1" s="88"/>
      <x:c r="L1" s="88"/>
      <x:c r="M1" s="88"/>
      <x:c r="N1" s="88"/>
      <x:c r="O1" s="88"/>
    </x:row>
    <x:row r="2">
      <x:c r="A2" s="88"/>
      <x:c r="B2" s="88"/>
      <x:c r="C2" s="88"/>
      <x:c r="D2" s="88"/>
      <x:c r="E2" s="88"/>
      <x:c r="F2" s="88"/>
      <x:c r="G2" s="88"/>
      <x:c r="H2" s="88"/>
      <x:c r="I2" s="88"/>
      <x:c r="J2" s="88"/>
      <x:c r="K2" s="88"/>
      <x:c r="L2" s="88"/>
      <x:c r="M2" s="88"/>
      <x:c r="N2" s="88"/>
      <x:c r="O2" s="88"/>
    </x:row>
    <x:row r="3">
      <x:c r="A3" s="13" t="str">
        <x:v>48 roles were removed after role need, skill match, documented evidence, legal review and knowledge-risk assessment.</x:v>
      </x:c>
      <x:c r="B3" s="13"/>
      <x:c r="C3" s="13"/>
      <x:c r="D3" s="13"/>
      <x:c r="E3" s="13"/>
      <x:c r="F3" s="13"/>
      <x:c r="G3" s="13"/>
      <x:c r="H3" s="13"/>
      <x:c r="I3" s="13"/>
      <x:c r="J3" s="13"/>
      <x:c r="K3" s="13"/>
      <x:c r="L3" s="13"/>
      <x:c r="M3" s="13"/>
      <x:c r="N3" s="13"/>
      <x:c r="O3" s="13"/>
    </x:row>
    <x:row r="5" ht="30" customHeight="1">
      <x:c r="A5" s="135" t="str">
        <x:v>Restructuring_ID</x:v>
      </x:c>
      <x:c r="B5" s="135" t="str">
        <x:v>Employee_ID</x:v>
      </x:c>
      <x:c r="C5" s="135" t="str">
        <x:v>Department</x:v>
      </x:c>
      <x:c r="D5" s="135" t="str">
        <x:v>Position</x:v>
      </x:c>
      <x:c r="E5" s="135" t="str">
        <x:v>Decision_Date</x:v>
      </x:c>
      <x:c r="F5" s="135" t="str">
        <x:v>Effective_Date</x:v>
      </x:c>
      <x:c r="G5" s="135" t="str">
        <x:v>Business_Reason</x:v>
      </x:c>
      <x:c r="H5" s="135" t="str">
        <x:v>Selection_Criteria</x:v>
      </x:c>
      <x:c r="I5" s="135" t="str">
        <x:v>Protected_Attribute_Used</x:v>
      </x:c>
      <x:c r="J5" s="135" t="str">
        <x:v>Separation_Benefit_BDT</x:v>
      </x:c>
      <x:c r="K5" s="135" t="str">
        <x:v>Estimated_Annual_Cost_Saving_BDT</x:v>
      </x:c>
      <x:c r="L5" s="135" t="str">
        <x:v>Critical_Knowledge_Risk</x:v>
      </x:c>
      <x:c r="M5" s="135" t="str">
        <x:v>Knowledge_Transfer_Completed</x:v>
      </x:c>
      <x:c r="N5" s="135" t="str">
        <x:v>Rehire_Eligible</x:v>
      </x:c>
      <x:c r="O5" s="135" t="str">
        <x:v>Ethical_Review_Status</x:v>
      </x:c>
    </x:row>
    <x:row r="6">
      <x:c r="A6" s="141" t="str">
        <x:v>RST-001</x:v>
      </x:c>
      <x:c r="B6" s="141" t="str">
        <x:v>SG-21008062009</x:v>
      </x:c>
      <x:c r="C6" s="141" t="str">
        <x:v>Smartwatch Production</x:v>
      </x:c>
      <x:c r="D6" s="141" t="str">
        <x:v>Assembly Operator</x:v>
      </x:c>
      <x:c r="E6" s="171" t="n">
        <x:v>46054</x:v>
      </x:c>
      <x:c r="F6" s="171" t="n">
        <x:v>46064</x:v>
      </x:c>
      <x:c r="G6" s="141" t="str">
        <x:v>Position removed in cost reset</x:v>
      </x:c>
      <x:c r="H6" s="141" t="str">
        <x:v>Role need, documented skill match, performance evidence and legal review</x:v>
      </x:c>
      <x:c r="I6" s="141" t="str">
        <x:v>No</x:v>
      </x:c>
      <x:c r="J6" s="173" t="n">
        <x:v>35000</x:v>
      </x:c>
      <x:c r="K6" s="173" t="n">
        <x:v>272400</x:v>
      </x:c>
      <x:c r="L6" s="141" t="str">
        <x:v>Low</x:v>
      </x:c>
      <x:c r="M6" s="141" t="str">
        <x:v>Yes</x:v>
      </x:c>
      <x:c r="N6" s="141" t="str">
        <x:v>Yes</x:v>
      </x:c>
      <x:c r="O6" s="141" t="str">
        <x:v>Reviewed</x:v>
      </x:c>
    </x:row>
    <x:row r="7">
      <x:c r="A7" s="141" t="str">
        <x:v>RST-002</x:v>
      </x:c>
      <x:c r="B7" s="141" t="str">
        <x:v>SG-27024032502</x:v>
      </x:c>
      <x:c r="C7" s="141" t="str">
        <x:v>Finance and Accounts</x:v>
      </x:c>
      <x:c r="D7" s="141" t="str">
        <x:v>Costing Analyst</x:v>
      </x:c>
      <x:c r="E7" s="171" t="n">
        <x:v>46048</x:v>
      </x:c>
      <x:c r="F7" s="171" t="n">
        <x:v>46063</x:v>
      </x:c>
      <x:c r="G7" s="141" t="str">
        <x:v>Skill mismatch for precision manufacturing</x:v>
      </x:c>
      <x:c r="H7" s="141" t="str">
        <x:v>Role need, documented skill match, performance evidence and legal review</x:v>
      </x:c>
      <x:c r="I7" s="141" t="str">
        <x:v>No</x:v>
      </x:c>
      <x:c r="J7" s="173" t="n">
        <x:v>72000</x:v>
      </x:c>
      <x:c r="K7" s="173" t="n">
        <x:v>695280</x:v>
      </x:c>
      <x:c r="L7" s="141" t="str">
        <x:v>Low</x:v>
      </x:c>
      <x:c r="M7" s="141" t="str">
        <x:v>Yes</x:v>
      </x:c>
      <x:c r="N7" s="141" t="str">
        <x:v>No</x:v>
      </x:c>
      <x:c r="O7" s="141" t="str">
        <x:v>Reviewed</x:v>
      </x:c>
    </x:row>
    <x:row r="8">
      <x:c r="A8" s="141" t="str">
        <x:v>RST-003</x:v>
      </x:c>
      <x:c r="B8" s="141" t="str">
        <x:v>SG-21029082333</x:v>
      </x:c>
      <x:c r="C8" s="141" t="str">
        <x:v>Smartwatch Production</x:v>
      </x:c>
      <x:c r="D8" s="141" t="str">
        <x:v>Production Supervisor</x:v>
      </x:c>
      <x:c r="E8" s="171" t="n">
        <x:v>46073</x:v>
      </x:c>
      <x:c r="F8" s="171" t="n">
        <x:v>46081</x:v>
      </x:c>
      <x:c r="G8" s="141" t="str">
        <x:v>Role duplication after line consolidation</x:v>
      </x:c>
      <x:c r="H8" s="141" t="str">
        <x:v>Role need, documented skill match, performance evidence and legal review</x:v>
      </x:c>
      <x:c r="I8" s="141" t="str">
        <x:v>No</x:v>
      </x:c>
      <x:c r="J8" s="173" t="n">
        <x:v>57500</x:v>
      </x:c>
      <x:c r="K8" s="173" t="n">
        <x:v>919200</x:v>
      </x:c>
      <x:c r="L8" s="141" t="str">
        <x:v>Medium</x:v>
      </x:c>
      <x:c r="M8" s="141" t="str">
        <x:v>Yes</x:v>
      </x:c>
      <x:c r="N8" s="141" t="str">
        <x:v>No</x:v>
      </x:c>
      <x:c r="O8" s="141" t="str">
        <x:v>Reviewed</x:v>
      </x:c>
    </x:row>
    <x:row r="9">
      <x:c r="A9" s="141" t="str">
        <x:v>RST-004</x:v>
      </x:c>
      <x:c r="B9" s="141" t="str">
        <x:v>SG-21022031927</x:v>
      </x:c>
      <x:c r="C9" s="141" t="str">
        <x:v>Smartwatch Production</x:v>
      </x:c>
      <x:c r="D9" s="141" t="str">
        <x:v>Assembly Operator</x:v>
      </x:c>
      <x:c r="E9" s="171" t="n">
        <x:v>46043</x:v>
      </x:c>
      <x:c r="F9" s="171" t="n">
        <x:v>46059</x:v>
      </x:c>
      <x:c r="G9" s="141" t="str">
        <x:v>Role duplication after line consolidation</x:v>
      </x:c>
      <x:c r="H9" s="141" t="str">
        <x:v>Role need, documented skill match, performance evidence and legal review</x:v>
      </x:c>
      <x:c r="I9" s="141" t="str">
        <x:v>No</x:v>
      </x:c>
      <x:c r="J9" s="173" t="n">
        <x:v>30750</x:v>
      </x:c>
      <x:c r="K9" s="173" t="n">
        <x:v>312480</x:v>
      </x:c>
      <x:c r="L9" s="141" t="str">
        <x:v>Medium</x:v>
      </x:c>
      <x:c r="M9" s="141" t="str">
        <x:v>Yes</x:v>
      </x:c>
      <x:c r="N9" s="141" t="str">
        <x:v>No</x:v>
      </x:c>
      <x:c r="O9" s="141" t="str">
        <x:v>Reviewed</x:v>
      </x:c>
    </x:row>
    <x:row r="10">
      <x:c r="A10" s="141" t="str">
        <x:v>RST-005</x:v>
      </x:c>
      <x:c r="B10" s="141" t="str">
        <x:v>SG-21024102301</x:v>
      </x:c>
      <x:c r="C10" s="141" t="str">
        <x:v>Smartwatch Production</x:v>
      </x:c>
      <x:c r="D10" s="141" t="str">
        <x:v>Production Line Leader</x:v>
      </x:c>
      <x:c r="E10" s="171" t="n">
        <x:v>46084</x:v>
      </x:c>
      <x:c r="F10" s="171" t="n">
        <x:v>46091</x:v>
      </x:c>
      <x:c r="G10" s="141" t="str">
        <x:v>Role duplication after line consolidation</x:v>
      </x:c>
      <x:c r="H10" s="141" t="str">
        <x:v>Role need, documented skill match, performance evidence and legal review</x:v>
      </x:c>
      <x:c r="I10" s="141" t="str">
        <x:v>No</x:v>
      </x:c>
      <x:c r="J10" s="173" t="n">
        <x:v>74000</x:v>
      </x:c>
      <x:c r="K10" s="173" t="n">
        <x:v>546720</x:v>
      </x:c>
      <x:c r="L10" s="141" t="str">
        <x:v>High</x:v>
      </x:c>
      <x:c r="M10" s="141" t="str">
        <x:v>Yes</x:v>
      </x:c>
      <x:c r="N10" s="141" t="str">
        <x:v>Yes</x:v>
      </x:c>
      <x:c r="O10" s="141" t="str">
        <x:v>Reviewed</x:v>
      </x:c>
    </x:row>
    <x:row r="11">
      <x:c r="A11" s="141" t="str">
        <x:v>RST-006</x:v>
      </x:c>
      <x:c r="B11" s="141" t="str">
        <x:v>SG-21027072040</x:v>
      </x:c>
      <x:c r="C11" s="141" t="str">
        <x:v>Smartwatch Production</x:v>
      </x:c>
      <x:c r="D11" s="141" t="str">
        <x:v>Production Line Leader</x:v>
      </x:c>
      <x:c r="E11" s="171" t="n">
        <x:v>46061</x:v>
      </x:c>
      <x:c r="F11" s="171" t="n">
        <x:v>46071</x:v>
      </x:c>
      <x:c r="G11" s="141" t="str">
        <x:v>Manual role replaced by redesigned process</x:v>
      </x:c>
      <x:c r="H11" s="141" t="str">
        <x:v>Role need, documented skill match, performance evidence and legal review</x:v>
      </x:c>
      <x:c r="I11" s="141" t="str">
        <x:v>No</x:v>
      </x:c>
      <x:c r="J11" s="173" t="n">
        <x:v>35500</x:v>
      </x:c>
      <x:c r="K11" s="173" t="n">
        <x:v>517680</x:v>
      </x:c>
      <x:c r="L11" s="141" t="str">
        <x:v>Low</x:v>
      </x:c>
      <x:c r="M11" s="141" t="str">
        <x:v>Yes</x:v>
      </x:c>
      <x:c r="N11" s="141" t="str">
        <x:v>No</x:v>
      </x:c>
      <x:c r="O11" s="141" t="str">
        <x:v>Reviewed</x:v>
      </x:c>
    </x:row>
    <x:row r="12">
      <x:c r="A12" s="141" t="str">
        <x:v>RST-007</x:v>
      </x:c>
      <x:c r="B12" s="141" t="str">
        <x:v>SG-21004102013</x:v>
      </x:c>
      <x:c r="C12" s="141" t="str">
        <x:v>Smartwatch Production</x:v>
      </x:c>
      <x:c r="D12" s="141" t="str">
        <x:v>Precision Assembly Technician</x:v>
      </x:c>
      <x:c r="E12" s="171" t="n">
        <x:v>46062</x:v>
      </x:c>
      <x:c r="F12" s="171" t="n">
        <x:v>46077</x:v>
      </x:c>
      <x:c r="G12" s="141" t="str">
        <x:v>Skill mismatch for precision manufacturing</x:v>
      </x:c>
      <x:c r="H12" s="141" t="str">
        <x:v>Role need, documented skill match, performance evidence and legal review</x:v>
      </x:c>
      <x:c r="I12" s="141" t="str">
        <x:v>No</x:v>
      </x:c>
      <x:c r="J12" s="173" t="n">
        <x:v>56000</x:v>
      </x:c>
      <x:c r="K12" s="173" t="n">
        <x:v>440880</x:v>
      </x:c>
      <x:c r="L12" s="141" t="str">
        <x:v>High</x:v>
      </x:c>
      <x:c r="M12" s="141" t="str">
        <x:v>Yes</x:v>
      </x:c>
      <x:c r="N12" s="141" t="str">
        <x:v>No</x:v>
      </x:c>
      <x:c r="O12" s="141" t="str">
        <x:v>Reviewed</x:v>
      </x:c>
    </x:row>
    <x:row r="13">
      <x:c r="A13" s="141" t="str">
        <x:v>RST-008</x:v>
      </x:c>
      <x:c r="B13" s="141" t="str">
        <x:v>SG-21012042030</x:v>
      </x:c>
      <x:c r="C13" s="141" t="str">
        <x:v>Smartwatch Production</x:v>
      </x:c>
      <x:c r="D13" s="141" t="str">
        <x:v>Precision Assembly Technician</x:v>
      </x:c>
      <x:c r="E13" s="171" t="n">
        <x:v>46068</x:v>
      </x:c>
      <x:c r="F13" s="171" t="n">
        <x:v>46086</x:v>
      </x:c>
      <x:c r="G13" s="141" t="str">
        <x:v>Skill mismatch for precision manufacturing</x:v>
      </x:c>
      <x:c r="H13" s="141" t="str">
        <x:v>Role need, documented skill match, performance evidence and legal review</x:v>
      </x:c>
      <x:c r="I13" s="141" t="str">
        <x:v>No</x:v>
      </x:c>
      <x:c r="J13" s="173" t="n">
        <x:v>44250</x:v>
      </x:c>
      <x:c r="K13" s="173" t="n">
        <x:v>431520</x:v>
      </x:c>
      <x:c r="L13" s="141" t="str">
        <x:v>Low</x:v>
      </x:c>
      <x:c r="M13" s="141" t="str">
        <x:v>No</x:v>
      </x:c>
      <x:c r="N13" s="141" t="str">
        <x:v>Yes</x:v>
      </x:c>
      <x:c r="O13" s="141" t="str">
        <x:v>Reviewed</x:v>
      </x:c>
    </x:row>
    <x:row r="14">
      <x:c r="A14" s="141" t="str">
        <x:v>RST-009</x:v>
      </x:c>
      <x:c r="B14" s="141" t="str">
        <x:v>SG-25008102503</x:v>
      </x:c>
      <x:c r="C14" s="141" t="str">
        <x:v>Supply Chain and Planning</x:v>
      </x:c>
      <x:c r="D14" s="141" t="str">
        <x:v>Supply Chain Analyst</x:v>
      </x:c>
      <x:c r="E14" s="171" t="n">
        <x:v>46067</x:v>
      </x:c>
      <x:c r="F14" s="171" t="n">
        <x:v>46075</x:v>
      </x:c>
      <x:c r="G14" s="141" t="str">
        <x:v>Role duplication after line consolidation</x:v>
      </x:c>
      <x:c r="H14" s="141" t="str">
        <x:v>Role need, documented skill match, performance evidence and legal review</x:v>
      </x:c>
      <x:c r="I14" s="141" t="str">
        <x:v>No</x:v>
      </x:c>
      <x:c r="J14" s="173" t="n">
        <x:v>100000</x:v>
      </x:c>
      <x:c r="K14" s="173" t="n">
        <x:v>775200</x:v>
      </x:c>
      <x:c r="L14" s="141" t="str">
        <x:v>High</x:v>
      </x:c>
      <x:c r="M14" s="141" t="str">
        <x:v>Yes</x:v>
      </x:c>
      <x:c r="N14" s="141" t="str">
        <x:v>No</x:v>
      </x:c>
      <x:c r="O14" s="141" t="str">
        <x:v>Reviewed</x:v>
      </x:c>
    </x:row>
    <x:row r="15">
      <x:c r="A15" s="141" t="str">
        <x:v>RST-010</x:v>
      </x:c>
      <x:c r="B15" s="141" t="str">
        <x:v>SG-21009112105</x:v>
      </x:c>
      <x:c r="C15" s="141" t="str">
        <x:v>Smartwatch Production</x:v>
      </x:c>
      <x:c r="D15" s="141" t="str">
        <x:v>Precision Assembly Technician</x:v>
      </x:c>
      <x:c r="E15" s="171" t="n">
        <x:v>46057</x:v>
      </x:c>
      <x:c r="F15" s="171" t="n">
        <x:v>46069</x:v>
      </x:c>
      <x:c r="G15" s="141" t="str">
        <x:v>Role duplication after line consolidation</x:v>
      </x:c>
      <x:c r="H15" s="141" t="str">
        <x:v>Role need, documented skill match, performance evidence and legal review</x:v>
      </x:c>
      <x:c r="I15" s="141" t="str">
        <x:v>No</x:v>
      </x:c>
      <x:c r="J15" s="173" t="n">
        <x:v>55000</x:v>
      </x:c>
      <x:c r="K15" s="173" t="n">
        <x:v>439200</x:v>
      </x:c>
      <x:c r="L15" s="141" t="str">
        <x:v>Low</x:v>
      </x:c>
      <x:c r="M15" s="141" t="str">
        <x:v>Yes</x:v>
      </x:c>
      <x:c r="N15" s="141" t="str">
        <x:v>Yes</x:v>
      </x:c>
      <x:c r="O15" s="141" t="str">
        <x:v>Reviewed</x:v>
      </x:c>
    </x:row>
    <x:row r="16">
      <x:c r="A16" s="141" t="str">
        <x:v>RST-011</x:v>
      </x:c>
      <x:c r="B16" s="141" t="str">
        <x:v>SG-21022112304</x:v>
      </x:c>
      <x:c r="C16" s="141" t="str">
        <x:v>Smartwatch Production</x:v>
      </x:c>
      <x:c r="D16" s="141" t="str">
        <x:v>SMT Line Technician</x:v>
      </x:c>
      <x:c r="E16" s="171" t="n">
        <x:v>46067</x:v>
      </x:c>
      <x:c r="F16" s="171" t="n">
        <x:v>46080</x:v>
      </x:c>
      <x:c r="G16" s="141" t="str">
        <x:v>Skill mismatch for precision manufacturing</x:v>
      </x:c>
      <x:c r="H16" s="141" t="str">
        <x:v>Role need, documented skill match, performance evidence and legal review</x:v>
      </x:c>
      <x:c r="I16" s="141" t="str">
        <x:v>No</x:v>
      </x:c>
      <x:c r="J16" s="173" t="n">
        <x:v>48000</x:v>
      </x:c>
      <x:c r="K16" s="173" t="n">
        <x:v>374640</x:v>
      </x:c>
      <x:c r="L16" s="141" t="str">
        <x:v>Medium</x:v>
      </x:c>
      <x:c r="M16" s="141" t="str">
        <x:v>Yes</x:v>
      </x:c>
      <x:c r="N16" s="141" t="str">
        <x:v>Yes</x:v>
      </x:c>
      <x:c r="O16" s="141" t="str">
        <x:v>Reviewed</x:v>
      </x:c>
    </x:row>
    <x:row r="17">
      <x:c r="A17" s="141" t="str">
        <x:v>RST-012</x:v>
      </x:c>
      <x:c r="B17" s="141" t="str">
        <x:v>SG-21019031923</x:v>
      </x:c>
      <x:c r="C17" s="141" t="str">
        <x:v>Smartwatch Production</x:v>
      </x:c>
      <x:c r="D17" s="141" t="str">
        <x:v>SMT Line Technician</x:v>
      </x:c>
      <x:c r="E17" s="171" t="n">
        <x:v>46047</x:v>
      </x:c>
      <x:c r="F17" s="171" t="n">
        <x:v>46061</x:v>
      </x:c>
      <x:c r="G17" s="141" t="str">
        <x:v>Skill mismatch for precision manufacturing</x:v>
      </x:c>
      <x:c r="H17" s="141" t="str">
        <x:v>Role need, documented skill match, performance evidence and legal review</x:v>
      </x:c>
      <x:c r="I17" s="141" t="str">
        <x:v>No</x:v>
      </x:c>
      <x:c r="J17" s="173" t="n">
        <x:v>54000</x:v>
      </x:c>
      <x:c r="K17" s="173" t="n">
        <x:v>405120</x:v>
      </x:c>
      <x:c r="L17" s="141" t="str">
        <x:v>High</x:v>
      </x:c>
      <x:c r="M17" s="141" t="str">
        <x:v>Yes</x:v>
      </x:c>
      <x:c r="N17" s="141" t="str">
        <x:v>Yes</x:v>
      </x:c>
      <x:c r="O17" s="141" t="str">
        <x:v>Reviewed</x:v>
      </x:c>
    </x:row>
    <x:row r="18">
      <x:c r="A18" s="141" t="str">
        <x:v>RST-013</x:v>
      </x:c>
      <x:c r="B18" s="141" t="str">
        <x:v>SG-21007081814</x:v>
      </x:c>
      <x:c r="C18" s="141" t="str">
        <x:v>Smartwatch Production</x:v>
      </x:c>
      <x:c r="D18" s="141" t="str">
        <x:v>Assembly Operator</x:v>
      </x:c>
      <x:c r="E18" s="171" t="n">
        <x:v>46058</x:v>
      </x:c>
      <x:c r="F18" s="171" t="n">
        <x:v>46075</x:v>
      </x:c>
      <x:c r="G18" s="141" t="str">
        <x:v>Position removed in cost reset</x:v>
      </x:c>
      <x:c r="H18" s="141" t="str">
        <x:v>Role need, documented skill match, performance evidence and legal review</x:v>
      </x:c>
      <x:c r="I18" s="141" t="str">
        <x:v>No</x:v>
      </x:c>
      <x:c r="J18" s="173" t="n">
        <x:v>21500</x:v>
      </x:c>
      <x:c r="K18" s="173" t="n">
        <x:v>332640</x:v>
      </x:c>
      <x:c r="L18" s="141" t="str">
        <x:v>Medium</x:v>
      </x:c>
      <x:c r="M18" s="141" t="str">
        <x:v>Yes</x:v>
      </x:c>
      <x:c r="N18" s="141" t="str">
        <x:v>Yes</x:v>
      </x:c>
      <x:c r="O18" s="141" t="str">
        <x:v>Reviewed</x:v>
      </x:c>
    </x:row>
    <x:row r="19">
      <x:c r="A19" s="141" t="str">
        <x:v>RST-014</x:v>
      </x:c>
      <x:c r="B19" s="141" t="str">
        <x:v>SG-25025042101</x:v>
      </x:c>
      <x:c r="C19" s="141" t="str">
        <x:v>Supply Chain and Planning</x:v>
      </x:c>
      <x:c r="D19" s="141" t="str">
        <x:v>Material Planner</x:v>
      </x:c>
      <x:c r="E19" s="171" t="n">
        <x:v>46055</x:v>
      </x:c>
      <x:c r="F19" s="171" t="n">
        <x:v>46063</x:v>
      </x:c>
      <x:c r="G19" s="141" t="str">
        <x:v>Manual role replaced by redesigned process</x:v>
      </x:c>
      <x:c r="H19" s="141" t="str">
        <x:v>Role need, documented skill match, performance evidence and legal review</x:v>
      </x:c>
      <x:c r="I19" s="141" t="str">
        <x:v>No</x:v>
      </x:c>
      <x:c r="J19" s="173" t="n">
        <x:v>40500</x:v>
      </x:c>
      <x:c r="K19" s="173" t="n">
        <x:v>623280</x:v>
      </x:c>
      <x:c r="L19" s="141" t="str">
        <x:v>Medium</x:v>
      </x:c>
      <x:c r="M19" s="141" t="str">
        <x:v>Yes</x:v>
      </x:c>
      <x:c r="N19" s="141" t="str">
        <x:v>Yes</x:v>
      </x:c>
      <x:c r="O19" s="141" t="str">
        <x:v>Reviewed</x:v>
      </x:c>
    </x:row>
    <x:row r="20">
      <x:c r="A20" s="141" t="str">
        <x:v>RST-015</x:v>
      </x:c>
      <x:c r="B20" s="141" t="str">
        <x:v>SG-21014122238</x:v>
      </x:c>
      <x:c r="C20" s="141" t="str">
        <x:v>Smartwatch Production</x:v>
      </x:c>
      <x:c r="D20" s="141" t="str">
        <x:v>Assembly Operator</x:v>
      </x:c>
      <x:c r="E20" s="171" t="n">
        <x:v>46072</x:v>
      </x:c>
      <x:c r="F20" s="171" t="n">
        <x:v>46080</x:v>
      </x:c>
      <x:c r="G20" s="141" t="str">
        <x:v>Position removed in cost reset</x:v>
      </x:c>
      <x:c r="H20" s="141" t="str">
        <x:v>Role need, documented skill match, performance evidence and legal review</x:v>
      </x:c>
      <x:c r="I20" s="141" t="str">
        <x:v>No</x:v>
      </x:c>
      <x:c r="J20" s="173" t="n">
        <x:v>30750</x:v>
      </x:c>
      <x:c r="K20" s="173" t="n">
        <x:v>314880</x:v>
      </x:c>
      <x:c r="L20" s="141" t="str">
        <x:v>Medium</x:v>
      </x:c>
      <x:c r="M20" s="141" t="str">
        <x:v>Yes</x:v>
      </x:c>
      <x:c r="N20" s="141" t="str">
        <x:v>No</x:v>
      </x:c>
      <x:c r="O20" s="141" t="str">
        <x:v>Reviewed</x:v>
      </x:c>
    </x:row>
    <x:row r="21">
      <x:c r="A21" s="141" t="str">
        <x:v>RST-016</x:v>
      </x:c>
      <x:c r="B21" s="141" t="str">
        <x:v>SG-21022041822</x:v>
      </x:c>
      <x:c r="C21" s="141" t="str">
        <x:v>Smartwatch Production</x:v>
      </x:c>
      <x:c r="D21" s="141" t="str">
        <x:v>Precision Assembly Technician</x:v>
      </x:c>
      <x:c r="E21" s="171" t="n">
        <x:v>46068</x:v>
      </x:c>
      <x:c r="F21" s="171" t="n">
        <x:v>46079</x:v>
      </x:c>
      <x:c r="G21" s="141" t="str">
        <x:v>Role duplication after line consolidation</x:v>
      </x:c>
      <x:c r="H21" s="141" t="str">
        <x:v>Role need, documented skill match, performance evidence and legal review</x:v>
      </x:c>
      <x:c r="I21" s="141" t="str">
        <x:v>No</x:v>
      </x:c>
      <x:c r="J21" s="173" t="n">
        <x:v>62000</x:v>
      </x:c>
      <x:c r="K21" s="173" t="n">
        <x:v>485760</x:v>
      </x:c>
      <x:c r="L21" s="141" t="str">
        <x:v>Low</x:v>
      </x:c>
      <x:c r="M21" s="141" t="str">
        <x:v>Yes</x:v>
      </x:c>
      <x:c r="N21" s="141" t="str">
        <x:v>Yes</x:v>
      </x:c>
      <x:c r="O21" s="141" t="str">
        <x:v>Reviewed</x:v>
      </x:c>
    </x:row>
    <x:row r="22">
      <x:c r="A22" s="141" t="str">
        <x:v>RST-017</x:v>
      </x:c>
      <x:c r="B22" s="141" t="str">
        <x:v>SG-21027042115</x:v>
      </x:c>
      <x:c r="C22" s="141" t="str">
        <x:v>Smartwatch Production</x:v>
      </x:c>
      <x:c r="D22" s="141" t="str">
        <x:v>Production Line Leader</x:v>
      </x:c>
      <x:c r="E22" s="171" t="n">
        <x:v>46069</x:v>
      </x:c>
      <x:c r="F22" s="171" t="n">
        <x:v>46079</x:v>
      </x:c>
      <x:c r="G22" s="141" t="str">
        <x:v>Role duplication after line consolidation</x:v>
      </x:c>
      <x:c r="H22" s="141" t="str">
        <x:v>Role need, documented skill match, performance evidence and legal review</x:v>
      </x:c>
      <x:c r="I22" s="141" t="str">
        <x:v>No</x:v>
      </x:c>
      <x:c r="J22" s="173" t="n">
        <x:v>32000</x:v>
      </x:c>
      <x:c r="K22" s="173" t="n">
        <x:v>468720</x:v>
      </x:c>
      <x:c r="L22" s="141" t="str">
        <x:v>Low</x:v>
      </x:c>
      <x:c r="M22" s="141" t="str">
        <x:v>Yes</x:v>
      </x:c>
      <x:c r="N22" s="141" t="str">
        <x:v>Yes</x:v>
      </x:c>
      <x:c r="O22" s="141" t="str">
        <x:v>Reviewed</x:v>
      </x:c>
    </x:row>
    <x:row r="23">
      <x:c r="A23" s="141" t="str">
        <x:v>RST-018</x:v>
      </x:c>
      <x:c r="B23" s="141" t="str">
        <x:v>SG-21014052035</x:v>
      </x:c>
      <x:c r="C23" s="141" t="str">
        <x:v>Smartwatch Production</x:v>
      </x:c>
      <x:c r="D23" s="141" t="str">
        <x:v>Assembly Operator</x:v>
      </x:c>
      <x:c r="E23" s="171" t="n">
        <x:v>46071</x:v>
      </x:c>
      <x:c r="F23" s="171" t="n">
        <x:v>46089</x:v>
      </x:c>
      <x:c r="G23" s="141" t="str">
        <x:v>Skill mismatch for precision manufacturing</x:v>
      </x:c>
      <x:c r="H23" s="141" t="str">
        <x:v>Role need, documented skill match, performance evidence and legal review</x:v>
      </x:c>
      <x:c r="I23" s="141" t="str">
        <x:v>No</x:v>
      </x:c>
      <x:c r="J23" s="173" t="n">
        <x:v>41000</x:v>
      </x:c>
      <x:c r="K23" s="173" t="n">
        <x:v>304080</x:v>
      </x:c>
      <x:c r="L23" s="141" t="str">
        <x:v>Medium</x:v>
      </x:c>
      <x:c r="M23" s="141" t="str">
        <x:v>Yes</x:v>
      </x:c>
      <x:c r="N23" s="141" t="str">
        <x:v>Yes</x:v>
      </x:c>
      <x:c r="O23" s="141" t="str">
        <x:v>Reviewed</x:v>
      </x:c>
    </x:row>
    <x:row r="24">
      <x:c r="A24" s="141" t="str">
        <x:v>RST-019</x:v>
      </x:c>
      <x:c r="B24" s="141" t="str">
        <x:v>SG-26002032004</x:v>
      </x:c>
      <x:c r="C24" s="141" t="str">
        <x:v>Procurement</x:v>
      </x:c>
      <x:c r="D24" s="141" t="str">
        <x:v>Vendor Development Executive</x:v>
      </x:c>
      <x:c r="E24" s="171" t="n">
        <x:v>46066</x:v>
      </x:c>
      <x:c r="F24" s="171" t="n">
        <x:v>46083</x:v>
      </x:c>
      <x:c r="G24" s="141" t="str">
        <x:v>Role duplication after line consolidation</x:v>
      </x:c>
      <x:c r="H24" s="141" t="str">
        <x:v>Role need, documented skill match, performance evidence and legal review</x:v>
      </x:c>
      <x:c r="I24" s="141" t="str">
        <x:v>No</x:v>
      </x:c>
      <x:c r="J24" s="173" t="n">
        <x:v>108000</x:v>
      </x:c>
      <x:c r="K24" s="173" t="n">
        <x:v>824640</x:v>
      </x:c>
      <x:c r="L24" s="141" t="str">
        <x:v>Low</x:v>
      </x:c>
      <x:c r="M24" s="141" t="str">
        <x:v>Yes</x:v>
      </x:c>
      <x:c r="N24" s="141" t="str">
        <x:v>Yes</x:v>
      </x:c>
      <x:c r="O24" s="141" t="str">
        <x:v>Reviewed</x:v>
      </x:c>
    </x:row>
    <x:row r="25">
      <x:c r="A25" s="141" t="str">
        <x:v>RST-020</x:v>
      </x:c>
      <x:c r="B25" s="141" t="str">
        <x:v>SG-26005022102</x:v>
      </x:c>
      <x:c r="C25" s="141" t="str">
        <x:v>Procurement</x:v>
      </x:c>
      <x:c r="D25" s="141" t="str">
        <x:v>Procurement Officer</x:v>
      </x:c>
      <x:c r="E25" s="171" t="n">
        <x:v>46072</x:v>
      </x:c>
      <x:c r="F25" s="171" t="n">
        <x:v>46080</x:v>
      </x:c>
      <x:c r="G25" s="141" t="str">
        <x:v>Skill mismatch for precision manufacturing</x:v>
      </x:c>
      <x:c r="H25" s="141" t="str">
        <x:v>Role need, documented skill match, performance evidence and legal review</x:v>
      </x:c>
      <x:c r="I25" s="141" t="str">
        <x:v>No</x:v>
      </x:c>
      <x:c r="J25" s="173" t="n">
        <x:v>66000</x:v>
      </x:c>
      <x:c r="K25" s="173" t="n">
        <x:v>498480</x:v>
      </x:c>
      <x:c r="L25" s="141" t="str">
        <x:v>Medium</x:v>
      </x:c>
      <x:c r="M25" s="141" t="str">
        <x:v>Yes</x:v>
      </x:c>
      <x:c r="N25" s="141" t="str">
        <x:v>No</x:v>
      </x:c>
      <x:c r="O25" s="141" t="str">
        <x:v>Reviewed</x:v>
      </x:c>
    </x:row>
    <x:row r="26">
      <x:c r="A26" s="141" t="str">
        <x:v>RST-021</x:v>
      </x:c>
      <x:c r="B26" s="141" t="str">
        <x:v>SG-25026052202</x:v>
      </x:c>
      <x:c r="C26" s="141" t="str">
        <x:v>Supply Chain and Planning</x:v>
      </x:c>
      <x:c r="D26" s="141" t="str">
        <x:v>Material Planner</x:v>
      </x:c>
      <x:c r="E26" s="171" t="n">
        <x:v>46072</x:v>
      </x:c>
      <x:c r="F26" s="171" t="n">
        <x:v>46089</x:v>
      </x:c>
      <x:c r="G26" s="141" t="str">
        <x:v>Role duplication after line consolidation</x:v>
      </x:c>
      <x:c r="H26" s="141" t="str">
        <x:v>Role need, documented skill match, performance evidence and legal review</x:v>
      </x:c>
      <x:c r="I26" s="141" t="str">
        <x:v>No</x:v>
      </x:c>
      <x:c r="J26" s="173" t="n">
        <x:v>42500</x:v>
      </x:c>
      <x:c r="K26" s="173" t="n">
        <x:v>618000</x:v>
      </x:c>
      <x:c r="L26" s="141" t="str">
        <x:v>Medium</x:v>
      </x:c>
      <x:c r="M26" s="141" t="str">
        <x:v>Yes</x:v>
      </x:c>
      <x:c r="N26" s="141" t="str">
        <x:v>No</x:v>
      </x:c>
      <x:c r="O26" s="141" t="str">
        <x:v>Reviewed</x:v>
      </x:c>
    </x:row>
    <x:row r="27">
      <x:c r="A27" s="141" t="str">
        <x:v>RST-022</x:v>
      </x:c>
      <x:c r="B27" s="141" t="str">
        <x:v>SG-25006072105</x:v>
      </x:c>
      <x:c r="C27" s="141" t="str">
        <x:v>Supply Chain and Planning</x:v>
      </x:c>
      <x:c r="D27" s="141" t="str">
        <x:v>Supply Chain Analyst</x:v>
      </x:c>
      <x:c r="E27" s="171" t="n">
        <x:v>46061</x:v>
      </x:c>
      <x:c r="F27" s="171" t="n">
        <x:v>46071</x:v>
      </x:c>
      <x:c r="G27" s="141" t="str">
        <x:v>Skill mismatch for precision manufacturing</x:v>
      </x:c>
      <x:c r="H27" s="141" t="str">
        <x:v>Role need, documented skill match, performance evidence and legal review</x:v>
      </x:c>
      <x:c r="I27" s="141" t="str">
        <x:v>No</x:v>
      </x:c>
      <x:c r="J27" s="173" t="n">
        <x:v>139000</x:v>
      </x:c>
      <x:c r="K27" s="173" t="n">
        <x:v>1105920</x:v>
      </x:c>
      <x:c r="L27" s="141" t="str">
        <x:v>Low</x:v>
      </x:c>
      <x:c r="M27" s="141" t="str">
        <x:v>Yes</x:v>
      </x:c>
      <x:c r="N27" s="141" t="str">
        <x:v>Yes</x:v>
      </x:c>
      <x:c r="O27" s="141" t="str">
        <x:v>Reviewed</x:v>
      </x:c>
    </x:row>
    <x:row r="28">
      <x:c r="A28" s="141" t="str">
        <x:v>RST-023</x:v>
      </x:c>
      <x:c r="B28" s="141" t="str">
        <x:v>SG-21027092011</x:v>
      </x:c>
      <x:c r="C28" s="141" t="str">
        <x:v>Smartwatch Production</x:v>
      </x:c>
      <x:c r="D28" s="141" t="str">
        <x:v>Production Line Leader</x:v>
      </x:c>
      <x:c r="E28" s="171" t="n">
        <x:v>46067</x:v>
      </x:c>
      <x:c r="F28" s="171" t="n">
        <x:v>46078</x:v>
      </x:c>
      <x:c r="G28" s="141" t="str">
        <x:v>Position removed in cost reset</x:v>
      </x:c>
      <x:c r="H28" s="141" t="str">
        <x:v>Role need, documented skill match, performance evidence and legal review</x:v>
      </x:c>
      <x:c r="I28" s="141" t="str">
        <x:v>No</x:v>
      </x:c>
      <x:c r="J28" s="173" t="n">
        <x:v>64500</x:v>
      </x:c>
      <x:c r="K28" s="173" t="n">
        <x:v>634080</x:v>
      </x:c>
      <x:c r="L28" s="141" t="str">
        <x:v>Low</x:v>
      </x:c>
      <x:c r="M28" s="141" t="str">
        <x:v>No</x:v>
      </x:c>
      <x:c r="N28" s="141" t="str">
        <x:v>Yes</x:v>
      </x:c>
      <x:c r="O28" s="141" t="str">
        <x:v>Reviewed</x:v>
      </x:c>
    </x:row>
    <x:row r="29">
      <x:c r="A29" s="141" t="str">
        <x:v>RST-024</x:v>
      </x:c>
      <x:c r="B29" s="141" t="str">
        <x:v>SG-21020121817</x:v>
      </x:c>
      <x:c r="C29" s="141" t="str">
        <x:v>Smartwatch Production</x:v>
      </x:c>
      <x:c r="D29" s="141" t="str">
        <x:v>SMT Line Technician</x:v>
      </x:c>
      <x:c r="E29" s="171" t="n">
        <x:v>46072</x:v>
      </x:c>
      <x:c r="F29" s="171" t="n">
        <x:v>46081</x:v>
      </x:c>
      <x:c r="G29" s="141" t="str">
        <x:v>Skill mismatch for precision manufacturing</x:v>
      </x:c>
      <x:c r="H29" s="141" t="str">
        <x:v>Role need, documented skill match, performance evidence and legal review</x:v>
      </x:c>
      <x:c r="I29" s="141" t="str">
        <x:v>No</x:v>
      </x:c>
      <x:c r="J29" s="173" t="n">
        <x:v>59000</x:v>
      </x:c>
      <x:c r="K29" s="173" t="n">
        <x:v>459120</x:v>
      </x:c>
      <x:c r="L29" s="141" t="str">
        <x:v>High</x:v>
      </x:c>
      <x:c r="M29" s="141" t="str">
        <x:v>Yes</x:v>
      </x:c>
      <x:c r="N29" s="141" t="str">
        <x:v>No</x:v>
      </x:c>
      <x:c r="O29" s="141" t="str">
        <x:v>Reviewed</x:v>
      </x:c>
    </x:row>
    <x:row r="30">
      <x:c r="A30" s="141" t="str">
        <x:v>RST-025</x:v>
      </x:c>
      <x:c r="B30" s="141" t="str">
        <x:v>SG-31002112302</x:v>
      </x:c>
      <x:c r="C30" s="141" t="str">
        <x:v>Administration and Security</x:v>
      </x:c>
      <x:c r="D30" s="141" t="str">
        <x:v>Transport Coordinator</x:v>
      </x:c>
      <x:c r="E30" s="171" t="n">
        <x:v>46068</x:v>
      </x:c>
      <x:c r="F30" s="171" t="n">
        <x:v>46086</x:v>
      </x:c>
      <x:c r="G30" s="141" t="str">
        <x:v>Role duplication after line consolidation</x:v>
      </x:c>
      <x:c r="H30" s="141" t="str">
        <x:v>Role need, documented skill match, performance evidence and legal review</x:v>
      </x:c>
      <x:c r="I30" s="141" t="str">
        <x:v>No</x:v>
      </x:c>
      <x:c r="J30" s="173" t="n">
        <x:v>44250</x:v>
      </x:c>
      <x:c r="K30" s="173" t="n">
        <x:v>447120</x:v>
      </x:c>
      <x:c r="L30" s="141" t="str">
        <x:v>Low</x:v>
      </x:c>
      <x:c r="M30" s="141" t="str">
        <x:v>Yes</x:v>
      </x:c>
      <x:c r="N30" s="141" t="str">
        <x:v>No</x:v>
      </x:c>
      <x:c r="O30" s="141" t="str">
        <x:v>Reviewed</x:v>
      </x:c>
    </x:row>
    <x:row r="31">
      <x:c r="A31" s="141" t="str">
        <x:v>RST-026</x:v>
      </x:c>
      <x:c r="B31" s="141" t="str">
        <x:v>SG-21012042207</x:v>
      </x:c>
      <x:c r="C31" s="141" t="str">
        <x:v>Smartwatch Production</x:v>
      </x:c>
      <x:c r="D31" s="141" t="str">
        <x:v>Assembly Operator</x:v>
      </x:c>
      <x:c r="E31" s="171" t="n">
        <x:v>46059</x:v>
      </x:c>
      <x:c r="F31" s="171" t="n">
        <x:v>46076</x:v>
      </x:c>
      <x:c r="G31" s="141" t="str">
        <x:v>Skill mismatch for precision manufacturing</x:v>
      </x:c>
      <x:c r="H31" s="141" t="str">
        <x:v>Role need, documented skill match, performance evidence and legal review</x:v>
      </x:c>
      <x:c r="I31" s="141" t="str">
        <x:v>No</x:v>
      </x:c>
      <x:c r="J31" s="173" t="n">
        <x:v>26250</x:v>
      </x:c>
      <x:c r="K31" s="173" t="n">
        <x:v>271200</x:v>
      </x:c>
      <x:c r="L31" s="141" t="str">
        <x:v>Medium</x:v>
      </x:c>
      <x:c r="M31" s="141" t="str">
        <x:v>Yes</x:v>
      </x:c>
      <x:c r="N31" s="141" t="str">
        <x:v>Yes</x:v>
      </x:c>
      <x:c r="O31" s="141" t="str">
        <x:v>Reviewed</x:v>
      </x:c>
    </x:row>
    <x:row r="32">
      <x:c r="A32" s="141" t="str">
        <x:v>RST-027</x:v>
      </x:c>
      <x:c r="B32" s="141" t="str">
        <x:v>SG-27008102203</x:v>
      </x:c>
      <x:c r="C32" s="141" t="str">
        <x:v>Finance and Accounts</x:v>
      </x:c>
      <x:c r="D32" s="141" t="str">
        <x:v>Costing Analyst</x:v>
      </x:c>
      <x:c r="E32" s="171" t="n">
        <x:v>46065</x:v>
      </x:c>
      <x:c r="F32" s="171" t="n">
        <x:v>46075</x:v>
      </x:c>
      <x:c r="G32" s="141" t="str">
        <x:v>Role duplication after line consolidation</x:v>
      </x:c>
      <x:c r="H32" s="141" t="str">
        <x:v>Role need, documented skill match, performance evidence and legal review</x:v>
      </x:c>
      <x:c r="I32" s="141" t="str">
        <x:v>No</x:v>
      </x:c>
      <x:c r="J32" s="173" t="n">
        <x:v>98000</x:v>
      </x:c>
      <x:c r="K32" s="173" t="n">
        <x:v>775440</x:v>
      </x:c>
      <x:c r="L32" s="141" t="str">
        <x:v>Low</x:v>
      </x:c>
      <x:c r="M32" s="141" t="str">
        <x:v>Yes</x:v>
      </x:c>
      <x:c r="N32" s="141" t="str">
        <x:v>Yes</x:v>
      </x:c>
      <x:c r="O32" s="141" t="str">
        <x:v>Reviewed</x:v>
      </x:c>
    </x:row>
    <x:row r="33">
      <x:c r="A33" s="141" t="str">
        <x:v>RST-028</x:v>
      </x:c>
      <x:c r="B33" s="141" t="str">
        <x:v>SG-21014031912</x:v>
      </x:c>
      <x:c r="C33" s="141" t="str">
        <x:v>Smartwatch Production</x:v>
      </x:c>
      <x:c r="D33" s="141" t="str">
        <x:v>Production Line Leader</x:v>
      </x:c>
      <x:c r="E33" s="171" t="n">
        <x:v>46062</x:v>
      </x:c>
      <x:c r="F33" s="171" t="n">
        <x:v>46079</x:v>
      </x:c>
      <x:c r="G33" s="141" t="str">
        <x:v>Role duplication after line consolidation</x:v>
      </x:c>
      <x:c r="H33" s="141" t="str">
        <x:v>Role need, documented skill match, performance evidence and legal review</x:v>
      </x:c>
      <x:c r="I33" s="141" t="str">
        <x:v>No</x:v>
      </x:c>
      <x:c r="J33" s="173" t="n">
        <x:v>40000</x:v>
      </x:c>
      <x:c r="K33" s="173" t="n">
        <x:v>597600</x:v>
      </x:c>
      <x:c r="L33" s="141" t="str">
        <x:v>Medium</x:v>
      </x:c>
      <x:c r="M33" s="141" t="str">
        <x:v>Yes</x:v>
      </x:c>
      <x:c r="N33" s="141" t="str">
        <x:v>Yes</x:v>
      </x:c>
      <x:c r="O33" s="141" t="str">
        <x:v>Reviewed</x:v>
      </x:c>
    </x:row>
    <x:row r="34">
      <x:c r="A34" s="141" t="str">
        <x:v>RST-029</x:v>
      </x:c>
      <x:c r="B34" s="141" t="str">
        <x:v>SG-12705041803</x:v>
      </x:c>
      <x:c r="C34" s="141" t="str">
        <x:v>Human Resources and People</x:v>
      </x:c>
      <x:c r="D34" s="141" t="str">
        <x:v>People Analytics Analyst</x:v>
      </x:c>
      <x:c r="E34" s="171" t="n">
        <x:v>46068</x:v>
      </x:c>
      <x:c r="F34" s="171" t="n">
        <x:v>46086</x:v>
      </x:c>
      <x:c r="G34" s="141" t="str">
        <x:v>Skill mismatch for precision manufacturing</x:v>
      </x:c>
      <x:c r="H34" s="141" t="str">
        <x:v>Role need, documented skill match, performance evidence and legal review</x:v>
      </x:c>
      <x:c r="I34" s="141" t="str">
        <x:v>No</x:v>
      </x:c>
      <x:c r="J34" s="173" t="n">
        <x:v>92250</x:v>
      </x:c>
      <x:c r="K34" s="173" t="n">
        <x:v>967440</x:v>
      </x:c>
      <x:c r="L34" s="141" t="str">
        <x:v>Low</x:v>
      </x:c>
      <x:c r="M34" s="141" t="str">
        <x:v>Yes</x:v>
      </x:c>
      <x:c r="N34" s="141" t="str">
        <x:v>Yes</x:v>
      </x:c>
      <x:c r="O34" s="141" t="str">
        <x:v>Reviewed</x:v>
      </x:c>
    </x:row>
    <x:row r="35">
      <x:c r="A35" s="141" t="str">
        <x:v>RST-030</x:v>
      </x:c>
      <x:c r="B35" s="141" t="str">
        <x:v>SG-21023011902</x:v>
      </x:c>
      <x:c r="C35" s="141" t="str">
        <x:v>Smartwatch Production</x:v>
      </x:c>
      <x:c r="D35" s="141" t="str">
        <x:v>Production Line Leader</x:v>
      </x:c>
      <x:c r="E35" s="171" t="n">
        <x:v>46051</x:v>
      </x:c>
      <x:c r="F35" s="171" t="n">
        <x:v>46061</x:v>
      </x:c>
      <x:c r="G35" s="141" t="str">
        <x:v>Skill mismatch for precision manufacturing</x:v>
      </x:c>
      <x:c r="H35" s="141" t="str">
        <x:v>Role need, documented skill match, performance evidence and legal review</x:v>
      </x:c>
      <x:c r="I35" s="141" t="str">
        <x:v>No</x:v>
      </x:c>
      <x:c r="J35" s="173" t="n">
        <x:v>42000</x:v>
      </x:c>
      <x:c r="K35" s="173" t="n">
        <x:v>642720</x:v>
      </x:c>
      <x:c r="L35" s="141" t="str">
        <x:v>Low</x:v>
      </x:c>
      <x:c r="M35" s="141" t="str">
        <x:v>Yes</x:v>
      </x:c>
      <x:c r="N35" s="141" t="str">
        <x:v>Yes</x:v>
      </x:c>
      <x:c r="O35" s="141" t="str">
        <x:v>Reviewed</x:v>
      </x:c>
    </x:row>
    <x:row r="36">
      <x:c r="A36" s="141" t="str">
        <x:v>RST-031</x:v>
      </x:c>
      <x:c r="B36" s="141" t="str">
        <x:v>SG-21007012306</x:v>
      </x:c>
      <x:c r="C36" s="141" t="str">
        <x:v>Smartwatch Production</x:v>
      </x:c>
      <x:c r="D36" s="141" t="str">
        <x:v>Production Supervisor</x:v>
      </x:c>
      <x:c r="E36" s="171" t="n">
        <x:v>46054</x:v>
      </x:c>
      <x:c r="F36" s="171" t="n">
        <x:v>46069</x:v>
      </x:c>
      <x:c r="G36" s="141" t="str">
        <x:v>Position removed in cost reset</x:v>
      </x:c>
      <x:c r="H36" s="141" t="str">
        <x:v>Role need, documented skill match, performance evidence and legal review</x:v>
      </x:c>
      <x:c r="I36" s="141" t="str">
        <x:v>No</x:v>
      </x:c>
      <x:c r="J36" s="173" t="n">
        <x:v>92000</x:v>
      </x:c>
      <x:c r="K36" s="173" t="n">
        <x:v>696960</x:v>
      </x:c>
      <x:c r="L36" s="141" t="str">
        <x:v>Medium</x:v>
      </x:c>
      <x:c r="M36" s="141" t="str">
        <x:v>Yes</x:v>
      </x:c>
      <x:c r="N36" s="141" t="str">
        <x:v>Yes</x:v>
      </x:c>
      <x:c r="O36" s="141" t="str">
        <x:v>Reviewed</x:v>
      </x:c>
    </x:row>
    <x:row r="37">
      <x:c r="A37" s="141" t="str">
        <x:v>RST-032</x:v>
      </x:c>
      <x:c r="B37" s="141" t="str">
        <x:v>SG-21007011845</x:v>
      </x:c>
      <x:c r="C37" s="141" t="str">
        <x:v>Smartwatch Production</x:v>
      </x:c>
      <x:c r="D37" s="141" t="str">
        <x:v>Assembly Operator</x:v>
      </x:c>
      <x:c r="E37" s="171" t="n">
        <x:v>46067</x:v>
      </x:c>
      <x:c r="F37" s="171" t="n">
        <x:v>46078</x:v>
      </x:c>
      <x:c r="G37" s="141" t="str">
        <x:v>Role duplication after line consolidation</x:v>
      </x:c>
      <x:c r="H37" s="141" t="str">
        <x:v>Role need, documented skill match, performance evidence and legal review</x:v>
      </x:c>
      <x:c r="I37" s="141" t="str">
        <x:v>No</x:v>
      </x:c>
      <x:c r="J37" s="173" t="n">
        <x:v>20000</x:v>
      </x:c>
      <x:c r="K37" s="173" t="n">
        <x:v>292800</x:v>
      </x:c>
      <x:c r="L37" s="141" t="str">
        <x:v>Low</x:v>
      </x:c>
      <x:c r="M37" s="141" t="str">
        <x:v>Yes</x:v>
      </x:c>
      <x:c r="N37" s="141" t="str">
        <x:v>No</x:v>
      </x:c>
      <x:c r="O37" s="141" t="str">
        <x:v>Reviewed</x:v>
      </x:c>
    </x:row>
    <x:row r="38">
      <x:c r="A38" s="141" t="str">
        <x:v>RST-033</x:v>
      </x:c>
      <x:c r="B38" s="141" t="str">
        <x:v>SG-21029042543</x:v>
      </x:c>
      <x:c r="C38" s="141" t="str">
        <x:v>Smartwatch Production</x:v>
      </x:c>
      <x:c r="D38" s="141" t="str">
        <x:v>Assembly Operator</x:v>
      </x:c>
      <x:c r="E38" s="171" t="n">
        <x:v>46073</x:v>
      </x:c>
      <x:c r="F38" s="171" t="n">
        <x:v>46091</x:v>
      </x:c>
      <x:c r="G38" s="141" t="str">
        <x:v>Manual role replaced by redesigned process</x:v>
      </x:c>
      <x:c r="H38" s="141" t="str">
        <x:v>Role need, documented skill match, performance evidence and legal review</x:v>
      </x:c>
      <x:c r="I38" s="141" t="str">
        <x:v>No</x:v>
      </x:c>
      <x:c r="J38" s="173" t="n">
        <x:v>32250</x:v>
      </x:c>
      <x:c r="K38" s="173" t="n">
        <x:v>336240</x:v>
      </x:c>
      <x:c r="L38" s="141" t="str">
        <x:v>Medium</x:v>
      </x:c>
      <x:c r="M38" s="141" t="str">
        <x:v>Yes</x:v>
      </x:c>
      <x:c r="N38" s="141" t="str">
        <x:v>No</x:v>
      </x:c>
      <x:c r="O38" s="141" t="str">
        <x:v>Reviewed</x:v>
      </x:c>
    </x:row>
    <x:row r="39">
      <x:c r="A39" s="141" t="str">
        <x:v>RST-034</x:v>
      </x:c>
      <x:c r="B39" s="141" t="str">
        <x:v>SG-21026071916</x:v>
      </x:c>
      <x:c r="C39" s="141" t="str">
        <x:v>Smartwatch Production</x:v>
      </x:c>
      <x:c r="D39" s="141" t="str">
        <x:v>Precision Assembly Technician</x:v>
      </x:c>
      <x:c r="E39" s="171" t="n">
        <x:v>46057</x:v>
      </x:c>
      <x:c r="F39" s="171" t="n">
        <x:v>46074</x:v>
      </x:c>
      <x:c r="G39" s="141" t="str">
        <x:v>Role duplication after line consolidation</x:v>
      </x:c>
      <x:c r="H39" s="141" t="str">
        <x:v>Role need, documented skill match, performance evidence and legal review</x:v>
      </x:c>
      <x:c r="I39" s="141" t="str">
        <x:v>No</x:v>
      </x:c>
      <x:c r="J39" s="173" t="n">
        <x:v>54000</x:v>
      </x:c>
      <x:c r="K39" s="173" t="n">
        <x:v>409920</x:v>
      </x:c>
      <x:c r="L39" s="141" t="str">
        <x:v>Medium</x:v>
      </x:c>
      <x:c r="M39" s="141" t="str">
        <x:v>Yes</x:v>
      </x:c>
      <x:c r="N39" s="141" t="str">
        <x:v>Yes</x:v>
      </x:c>
      <x:c r="O39" s="141" t="str">
        <x:v>Reviewed</x:v>
      </x:c>
    </x:row>
    <x:row r="40">
      <x:c r="A40" s="141" t="str">
        <x:v>RST-035</x:v>
      </x:c>
      <x:c r="B40" s="141" t="str">
        <x:v>SG-29023062202</x:v>
      </x:c>
      <x:c r="C40" s="141" t="str">
        <x:v>Sales Distribution and Service</x:v>
      </x:c>
      <x:c r="D40" s="141" t="str">
        <x:v>Warranty Analyst</x:v>
      </x:c>
      <x:c r="E40" s="171" t="n">
        <x:v>46062</x:v>
      </x:c>
      <x:c r="F40" s="171" t="n">
        <x:v>46073</x:v>
      </x:c>
      <x:c r="G40" s="141" t="str">
        <x:v>Skill mismatch for precision manufacturing</x:v>
      </x:c>
      <x:c r="H40" s="141" t="str">
        <x:v>Role need, documented skill match, performance evidence and legal review</x:v>
      </x:c>
      <x:c r="I40" s="141" t="str">
        <x:v>No</x:v>
      </x:c>
      <x:c r="J40" s="173" t="n">
        <x:v>49000</x:v>
      </x:c>
      <x:c r="K40" s="173" t="n">
        <x:v>715440</x:v>
      </x:c>
      <x:c r="L40" s="141" t="str">
        <x:v>Medium</x:v>
      </x:c>
      <x:c r="M40" s="141" t="str">
        <x:v>No</x:v>
      </x:c>
      <x:c r="N40" s="141" t="str">
        <x:v>Yes</x:v>
      </x:c>
      <x:c r="O40" s="141" t="str">
        <x:v>Reviewed</x:v>
      </x:c>
    </x:row>
    <x:row r="41">
      <x:c r="A41" s="141" t="str">
        <x:v>RST-036</x:v>
      </x:c>
      <x:c r="B41" s="141" t="str">
        <x:v>SG-21004112432</x:v>
      </x:c>
      <x:c r="C41" s="141" t="str">
        <x:v>Smartwatch Production</x:v>
      </x:c>
      <x:c r="D41" s="141" t="str">
        <x:v>Production Supervisor</x:v>
      </x:c>
      <x:c r="E41" s="171" t="n">
        <x:v>46040</x:v>
      </x:c>
      <x:c r="F41" s="171" t="n">
        <x:v>46058</x:v>
      </x:c>
      <x:c r="G41" s="141" t="str">
        <x:v>Role duplication after line consolidation</x:v>
      </x:c>
      <x:c r="H41" s="141" t="str">
        <x:v>Role need, documented skill match, performance evidence and legal review</x:v>
      </x:c>
      <x:c r="I41" s="141" t="str">
        <x:v>No</x:v>
      </x:c>
      <x:c r="J41" s="173" t="n">
        <x:v>53000</x:v>
      </x:c>
      <x:c r="K41" s="173" t="n">
        <x:v>833280</x:v>
      </x:c>
      <x:c r="L41" s="141" t="str">
        <x:v>Low</x:v>
      </x:c>
      <x:c r="M41" s="141" t="str">
        <x:v>No</x:v>
      </x:c>
      <x:c r="N41" s="141" t="str">
        <x:v>Yes</x:v>
      </x:c>
      <x:c r="O41" s="141" t="str">
        <x:v>Reviewed</x:v>
      </x:c>
    </x:row>
    <x:row r="42">
      <x:c r="A42" s="141" t="str">
        <x:v>RST-037</x:v>
      </x:c>
      <x:c r="B42" s="141" t="str">
        <x:v>SG-30001092002</x:v>
      </x:c>
      <x:c r="C42" s="141" t="str">
        <x:v>EHS and Regulatory Compliance</x:v>
      </x:c>
      <x:c r="D42" s="141" t="str">
        <x:v>EHS Officer</x:v>
      </x:c>
      <x:c r="E42" s="171" t="n">
        <x:v>46063</x:v>
      </x:c>
      <x:c r="F42" s="171" t="n">
        <x:v>46070</x:v>
      </x:c>
      <x:c r="G42" s="141" t="str">
        <x:v>Position removed in cost reset</x:v>
      </x:c>
      <x:c r="H42" s="141" t="str">
        <x:v>Role need, documented skill match, performance evidence and legal review</x:v>
      </x:c>
      <x:c r="I42" s="141" t="str">
        <x:v>No</x:v>
      </x:c>
      <x:c r="J42" s="173" t="n">
        <x:v>61500</x:v>
      </x:c>
      <x:c r="K42" s="173" t="n">
        <x:v>593760</x:v>
      </x:c>
      <x:c r="L42" s="141" t="str">
        <x:v>Medium</x:v>
      </x:c>
      <x:c r="M42" s="141" t="str">
        <x:v>Yes</x:v>
      </x:c>
      <x:c r="N42" s="141" t="str">
        <x:v>No</x:v>
      </x:c>
      <x:c r="O42" s="141" t="str">
        <x:v>Reviewed</x:v>
      </x:c>
    </x:row>
    <x:row r="43">
      <x:c r="A43" s="141" t="str">
        <x:v>RST-038</x:v>
      </x:c>
      <x:c r="B43" s="141" t="str">
        <x:v>SG-26014051901</x:v>
      </x:c>
      <x:c r="C43" s="141" t="str">
        <x:v>Procurement</x:v>
      </x:c>
      <x:c r="D43" s="141" t="str">
        <x:v>Procurement Officer</x:v>
      </x:c>
      <x:c r="E43" s="171" t="n">
        <x:v>46061</x:v>
      </x:c>
      <x:c r="F43" s="171" t="n">
        <x:v>46069</x:v>
      </x:c>
      <x:c r="G43" s="141" t="str">
        <x:v>Position removed in cost reset</x:v>
      </x:c>
      <x:c r="H43" s="141" t="str">
        <x:v>Role need, documented skill match, performance evidence and legal review</x:v>
      </x:c>
      <x:c r="I43" s="141" t="str">
        <x:v>No</x:v>
      </x:c>
      <x:c r="J43" s="173" t="n">
        <x:v>48000</x:v>
      </x:c>
      <x:c r="K43" s="173" t="n">
        <x:v>483120</x:v>
      </x:c>
      <x:c r="L43" s="141" t="str">
        <x:v>Low</x:v>
      </x:c>
      <x:c r="M43" s="141" t="str">
        <x:v>Yes</x:v>
      </x:c>
      <x:c r="N43" s="141" t="str">
        <x:v>Yes</x:v>
      </x:c>
      <x:c r="O43" s="141" t="str">
        <x:v>Reviewed</x:v>
      </x:c>
    </x:row>
    <x:row r="44">
      <x:c r="A44" s="141" t="str">
        <x:v>RST-039</x:v>
      </x:c>
      <x:c r="B44" s="141" t="str">
        <x:v>SG-21028021825</x:v>
      </x:c>
      <x:c r="C44" s="141" t="str">
        <x:v>Smartwatch Production</x:v>
      </x:c>
      <x:c r="D44" s="141" t="str">
        <x:v>Assembly Operator</x:v>
      </x:c>
      <x:c r="E44" s="171" t="n">
        <x:v>46071</x:v>
      </x:c>
      <x:c r="F44" s="171" t="n">
        <x:v>46089</x:v>
      </x:c>
      <x:c r="G44" s="141" t="str">
        <x:v>Role duplication after line consolidation</x:v>
      </x:c>
      <x:c r="H44" s="141" t="str">
        <x:v>Role need, documented skill match, performance evidence and legal review</x:v>
      </x:c>
      <x:c r="I44" s="141" t="str">
        <x:v>No</x:v>
      </x:c>
      <x:c r="J44" s="173" t="n">
        <x:v>19000</x:v>
      </x:c>
      <x:c r="K44" s="173" t="n">
        <x:v>281040</x:v>
      </x:c>
      <x:c r="L44" s="141" t="str">
        <x:v>Medium</x:v>
      </x:c>
      <x:c r="M44" s="141" t="str">
        <x:v>Yes</x:v>
      </x:c>
      <x:c r="N44" s="141" t="str">
        <x:v>Yes</x:v>
      </x:c>
      <x:c r="O44" s="141" t="str">
        <x:v>Reviewed</x:v>
      </x:c>
    </x:row>
    <x:row r="45">
      <x:c r="A45" s="141" t="str">
        <x:v>RST-040</x:v>
      </x:c>
      <x:c r="B45" s="141" t="str">
        <x:v>SG-21030102342</x:v>
      </x:c>
      <x:c r="C45" s="141" t="str">
        <x:v>Smartwatch Production</x:v>
      </x:c>
      <x:c r="D45" s="141" t="str">
        <x:v>SMT Line Technician</x:v>
      </x:c>
      <x:c r="E45" s="171" t="n">
        <x:v>46050</x:v>
      </x:c>
      <x:c r="F45" s="171" t="n">
        <x:v>46066</x:v>
      </x:c>
      <x:c r="G45" s="141" t="str">
        <x:v>Position removed in cost reset</x:v>
      </x:c>
      <x:c r="H45" s="141" t="str">
        <x:v>Role need, documented skill match, performance evidence and legal review</x:v>
      </x:c>
      <x:c r="I45" s="141" t="str">
        <x:v>No</x:v>
      </x:c>
      <x:c r="J45" s="173" t="n">
        <x:v>50000</x:v>
      </x:c>
      <x:c r="K45" s="173" t="n">
        <x:v>399600</x:v>
      </x:c>
      <x:c r="L45" s="141" t="str">
        <x:v>Medium</x:v>
      </x:c>
      <x:c r="M45" s="141" t="str">
        <x:v>Yes</x:v>
      </x:c>
      <x:c r="N45" s="141" t="str">
        <x:v>Yes</x:v>
      </x:c>
      <x:c r="O45" s="141" t="str">
        <x:v>Reviewed</x:v>
      </x:c>
    </x:row>
    <x:row r="46">
      <x:c r="A46" s="141" t="str">
        <x:v>RST-041</x:v>
      </x:c>
      <x:c r="B46" s="141" t="str">
        <x:v>SG-29010112404</x:v>
      </x:c>
      <x:c r="C46" s="141" t="str">
        <x:v>Sales Distribution and Service</x:v>
      </x:c>
      <x:c r="D46" s="141" t="str">
        <x:v>Warranty Analyst</x:v>
      </x:c>
      <x:c r="E46" s="171" t="n">
        <x:v>46050</x:v>
      </x:c>
      <x:c r="F46" s="171" t="n">
        <x:v>46061</x:v>
      </x:c>
      <x:c r="G46" s="141" t="str">
        <x:v>Position removed in cost reset</x:v>
      </x:c>
      <x:c r="H46" s="141" t="str">
        <x:v>Role need, documented skill match, performance evidence and legal review</x:v>
      </x:c>
      <x:c r="I46" s="141" t="str">
        <x:v>No</x:v>
      </x:c>
      <x:c r="J46" s="173" t="n">
        <x:v>98000</x:v>
      </x:c>
      <x:c r="K46" s="173" t="n">
        <x:v>707040</x:v>
      </x:c>
      <x:c r="L46" s="141" t="str">
        <x:v>Medium</x:v>
      </x:c>
      <x:c r="M46" s="141" t="str">
        <x:v>Yes</x:v>
      </x:c>
      <x:c r="N46" s="141" t="str">
        <x:v>No</x:v>
      </x:c>
      <x:c r="O46" s="141" t="str">
        <x:v>Reviewed</x:v>
      </x:c>
    </x:row>
    <x:row r="47">
      <x:c r="A47" s="141" t="str">
        <x:v>RST-042</x:v>
      </x:c>
      <x:c r="B47" s="141" t="str">
        <x:v>SG-27024112004</x:v>
      </x:c>
      <x:c r="C47" s="141" t="str">
        <x:v>Finance and Accounts</x:v>
      </x:c>
      <x:c r="D47" s="141" t="str">
        <x:v>Accounts Officer</x:v>
      </x:c>
      <x:c r="E47" s="171" t="n">
        <x:v>46083</x:v>
      </x:c>
      <x:c r="F47" s="171" t="n">
        <x:v>46091</x:v>
      </x:c>
      <x:c r="G47" s="141" t="str">
        <x:v>Role duplication after line consolidation</x:v>
      </x:c>
      <x:c r="H47" s="141" t="str">
        <x:v>Role need, documented skill match, performance evidence and legal review</x:v>
      </x:c>
      <x:c r="I47" s="141" t="str">
        <x:v>No</x:v>
      </x:c>
      <x:c r="J47" s="173" t="n">
        <x:v>67500</x:v>
      </x:c>
      <x:c r="K47" s="173" t="n">
        <x:v>709200</x:v>
      </x:c>
      <x:c r="L47" s="141" t="str">
        <x:v>Medium</x:v>
      </x:c>
      <x:c r="M47" s="141" t="str">
        <x:v>Yes</x:v>
      </x:c>
      <x:c r="N47" s="141" t="str">
        <x:v>Yes</x:v>
      </x:c>
      <x:c r="O47" s="141" t="str">
        <x:v>Reviewed</x:v>
      </x:c>
    </x:row>
    <x:row r="48">
      <x:c r="A48" s="141" t="str">
        <x:v>RST-043</x:v>
      </x:c>
      <x:c r="B48" s="141" t="str">
        <x:v>SG-21015012424</x:v>
      </x:c>
      <x:c r="C48" s="141" t="str">
        <x:v>Smartwatch Production</x:v>
      </x:c>
      <x:c r="D48" s="141" t="str">
        <x:v>Assembly Operator</x:v>
      </x:c>
      <x:c r="E48" s="171" t="n">
        <x:v>46050</x:v>
      </x:c>
      <x:c r="F48" s="171" t="n">
        <x:v>46062</x:v>
      </x:c>
      <x:c r="G48" s="141" t="str">
        <x:v>Role duplication after line consolidation</x:v>
      </x:c>
      <x:c r="H48" s="141" t="str">
        <x:v>Role need, documented skill match, performance evidence and legal review</x:v>
      </x:c>
      <x:c r="I48" s="141" t="str">
        <x:v>No</x:v>
      </x:c>
      <x:c r="J48" s="173" t="n">
        <x:v>37000</x:v>
      </x:c>
      <x:c r="K48" s="173" t="n">
        <x:v>274560</x:v>
      </x:c>
      <x:c r="L48" s="141" t="str">
        <x:v>Medium</x:v>
      </x:c>
      <x:c r="M48" s="141" t="str">
        <x:v>No</x:v>
      </x:c>
      <x:c r="N48" s="141" t="str">
        <x:v>Yes</x:v>
      </x:c>
      <x:c r="O48" s="141" t="str">
        <x:v>Reviewed</x:v>
      </x:c>
    </x:row>
    <x:row r="49">
      <x:c r="A49" s="141" t="str">
        <x:v>RST-044</x:v>
      </x:c>
      <x:c r="B49" s="141" t="str">
        <x:v>SG-21014112418</x:v>
      </x:c>
      <x:c r="C49" s="141" t="str">
        <x:v>Smartwatch Production</x:v>
      </x:c>
      <x:c r="D49" s="141" t="str">
        <x:v>Production Line Leader</x:v>
      </x:c>
      <x:c r="E49" s="171" t="n">
        <x:v>46052</x:v>
      </x:c>
      <x:c r="F49" s="171" t="n">
        <x:v>46064</x:v>
      </x:c>
      <x:c r="G49" s="141" t="str">
        <x:v>Position removed in cost reset</x:v>
      </x:c>
      <x:c r="H49" s="141" t="str">
        <x:v>Role need, documented skill match, performance evidence and legal review</x:v>
      </x:c>
      <x:c r="I49" s="141" t="str">
        <x:v>No</x:v>
      </x:c>
      <x:c r="J49" s="173" t="n">
        <x:v>34500</x:v>
      </x:c>
      <x:c r="K49" s="173" t="n">
        <x:v>531120</x:v>
      </x:c>
      <x:c r="L49" s="141" t="str">
        <x:v>Low</x:v>
      </x:c>
      <x:c r="M49" s="141" t="str">
        <x:v>Yes</x:v>
      </x:c>
      <x:c r="N49" s="141" t="str">
        <x:v>Yes</x:v>
      </x:c>
      <x:c r="O49" s="141" t="str">
        <x:v>Reviewed</x:v>
      </x:c>
    </x:row>
    <x:row r="50">
      <x:c r="A50" s="141" t="str">
        <x:v>RST-045</x:v>
      </x:c>
      <x:c r="B50" s="141" t="str">
        <x:v>SG-21017092019</x:v>
      </x:c>
      <x:c r="C50" s="141" t="str">
        <x:v>Smartwatch Production</x:v>
      </x:c>
      <x:c r="D50" s="141" t="str">
        <x:v>Assembly Operator</x:v>
      </x:c>
      <x:c r="E50" s="171" t="n">
        <x:v>46057</x:v>
      </x:c>
      <x:c r="F50" s="171" t="n">
        <x:v>46065</x:v>
      </x:c>
      <x:c r="G50" s="141" t="str">
        <x:v>Skill mismatch for precision manufacturing</x:v>
      </x:c>
      <x:c r="H50" s="141" t="str">
        <x:v>Role need, documented skill match, performance evidence and legal review</x:v>
      </x:c>
      <x:c r="I50" s="141" t="str">
        <x:v>No</x:v>
      </x:c>
      <x:c r="J50" s="173" t="n">
        <x:v>20000</x:v>
      </x:c>
      <x:c r="K50" s="173" t="n">
        <x:v>307200</x:v>
      </x:c>
      <x:c r="L50" s="141" t="str">
        <x:v>High</x:v>
      </x:c>
      <x:c r="M50" s="141" t="str">
        <x:v>Yes</x:v>
      </x:c>
      <x:c r="N50" s="141" t="str">
        <x:v>Yes</x:v>
      </x:c>
      <x:c r="O50" s="141" t="str">
        <x:v>Reviewed</x:v>
      </x:c>
    </x:row>
    <x:row r="51">
      <x:c r="A51" s="141" t="str">
        <x:v>RST-046</x:v>
      </x:c>
      <x:c r="B51" s="141" t="str">
        <x:v>SG-12720082301</x:v>
      </x:c>
      <x:c r="C51" s="141" t="str">
        <x:v>Human Resources and People</x:v>
      </x:c>
      <x:c r="D51" s="141" t="str">
        <x:v>Talent Acquisition Executive</x:v>
      </x:c>
      <x:c r="E51" s="171" t="n">
        <x:v>46059</x:v>
      </x:c>
      <x:c r="F51" s="171" t="n">
        <x:v>46076</x:v>
      </x:c>
      <x:c r="G51" s="141" t="str">
        <x:v>Skill mismatch for precision manufacturing</x:v>
      </x:c>
      <x:c r="H51" s="141" t="str">
        <x:v>Role need, documented skill match, performance evidence and legal review</x:v>
      </x:c>
      <x:c r="I51" s="141" t="str">
        <x:v>No</x:v>
      </x:c>
      <x:c r="J51" s="173" t="n">
        <x:v>78000</x:v>
      </x:c>
      <x:c r="K51" s="173" t="n">
        <x:v>615840</x:v>
      </x:c>
      <x:c r="L51" s="141" t="str">
        <x:v>Medium</x:v>
      </x:c>
      <x:c r="M51" s="141" t="str">
        <x:v>Yes</x:v>
      </x:c>
      <x:c r="N51" s="141" t="str">
        <x:v>Yes</x:v>
      </x:c>
      <x:c r="O51" s="141" t="str">
        <x:v>Reviewed</x:v>
      </x:c>
    </x:row>
    <x:row r="52">
      <x:c r="A52" s="141" t="str">
        <x:v>RST-047</x:v>
      </x:c>
      <x:c r="B52" s="141" t="str">
        <x:v>SG-22008082406</x:v>
      </x:c>
      <x:c r="C52" s="141" t="str">
        <x:v>Quality Assurance</x:v>
      </x:c>
      <x:c r="D52" s="141" t="str">
        <x:v>Quality Inspector</x:v>
      </x:c>
      <x:c r="E52" s="171" t="n">
        <x:v>46076</x:v>
      </x:c>
      <x:c r="F52" s="171" t="n">
        <x:v>46087</x:v>
      </x:c>
      <x:c r="G52" s="141" t="str">
        <x:v>Role duplication after line consolidation</x:v>
      </x:c>
      <x:c r="H52" s="141" t="str">
        <x:v>Role need, documented skill match, performance evidence and legal review</x:v>
      </x:c>
      <x:c r="I52" s="141" t="str">
        <x:v>No</x:v>
      </x:c>
      <x:c r="J52" s="173" t="n">
        <x:v>23000</x:v>
      </x:c>
      <x:c r="K52" s="173" t="n">
        <x:v>365280</x:v>
      </x:c>
      <x:c r="L52" s="141" t="str">
        <x:v>High</x:v>
      </x:c>
      <x:c r="M52" s="141" t="str">
        <x:v>Yes</x:v>
      </x:c>
      <x:c r="N52" s="141" t="str">
        <x:v>Yes</x:v>
      </x:c>
      <x:c r="O52" s="141" t="str">
        <x:v>Reviewed</x:v>
      </x:c>
    </x:row>
    <x:row r="53">
      <x:c r="A53" s="141" t="str">
        <x:v>RST-048</x:v>
      </x:c>
      <x:c r="B53" s="141" t="str">
        <x:v>SG-30018031801</x:v>
      </x:c>
      <x:c r="C53" s="141" t="str">
        <x:v>EHS and Regulatory Compliance</x:v>
      </x:c>
      <x:c r="D53" s="141" t="str">
        <x:v>Regulatory Affairs Specialist</x:v>
      </x:c>
      <x:c r="E53" s="171" t="n">
        <x:v>46052</x:v>
      </x:c>
      <x:c r="F53" s="171" t="n">
        <x:v>46065</x:v>
      </x:c>
      <x:c r="G53" s="141" t="str">
        <x:v>Manual role replaced by redesigned process</x:v>
      </x:c>
      <x:c r="H53" s="141" t="str">
        <x:v>Role need, documented skill match, performance evidence and legal review</x:v>
      </x:c>
      <x:c r="I53" s="141" t="str">
        <x:v>No</x:v>
      </x:c>
      <x:c r="J53" s="173" t="n">
        <x:v>48000</x:v>
      </x:c>
      <x:c r="K53" s="173" t="n">
        <x:v>738480</x:v>
      </x:c>
      <x:c r="L53" s="141" t="str">
        <x:v>High</x:v>
      </x:c>
      <x:c r="M53" s="141" t="str">
        <x:v>Yes</x:v>
      </x:c>
      <x:c r="N53" s="141" t="str">
        <x:v>Yes</x:v>
      </x:c>
      <x:c r="O53" s="141" t="str">
        <x:v>Reviewed</x:v>
      </x:c>
    </x:row>
  </x:sheetData>
  <x:mergeCells>
    <x:mergeCell ref="A1:O2"/>
    <x:mergeCell ref="A3:O3"/>
  </x:mergeCells>
  <x:pageMargins left="0.7" right="0.7" top="0.75" bottom="0.75" header="0.3" footer="0.3"/>
  <x:tableParts count="1">
    <x:tablePart xmlns:r="http://schemas.openxmlformats.org/officeDocument/2006/relationships" r:id="R5c90fb8b49d147fe"/>
  </x:tableParts>
</x:worksheet>
</file>

<file path=xl/worksheets/sheet9.xml><?xml version="1.0" encoding="utf-8"?>
<x:worksheet xmlns:x="http://schemas.openxmlformats.org/spreadsheetml/2006/main">
  <x:sheetFormatPr defaultRowHeight="15"/>
  <x:cols>
    <x:col min="1" max="1" width="13" hidden="0" customWidth="1"/>
    <x:col min="2" max="2" width="13" hidden="0" customWidth="1"/>
    <x:col min="3" max="3" width="28" hidden="0" customWidth="1"/>
    <x:col min="4" max="4" width="28" hidden="0" customWidth="1"/>
    <x:col min="5" max="5" width="14" hidden="0" customWidth="1"/>
    <x:col min="6" max="6" width="13" hidden="0" customWidth="1"/>
    <x:col min="7" max="7" width="13"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6" hidden="0" customWidth="1"/>
  </x:cols>
  <x:sheetData>
    <x:row r="1">
      <x:c r="A1" s="88" t="str">
        <x:v>Critical-Skill Recruitment Funnel</x:v>
      </x:c>
      <x:c r="B1" s="88"/>
      <x:c r="C1" s="88"/>
      <x:c r="D1" s="88"/>
      <x:c r="E1" s="88"/>
      <x:c r="F1" s="88"/>
      <x:c r="G1" s="88"/>
      <x:c r="H1" s="88"/>
      <x:c r="I1" s="88"/>
      <x:c r="J1" s="88"/>
      <x:c r="K1" s="88"/>
      <x:c r="L1" s="88"/>
      <x:c r="M1" s="88"/>
      <x:c r="N1" s="88"/>
      <x:c r="O1" s="88"/>
      <x:c r="P1" s="88"/>
      <x:c r="Q1" s="88"/>
      <x:c r="R1" s="88"/>
      <x:c r="S1" s="88"/>
    </x:row>
    <x:row r="2">
      <x:c r="A2" s="88"/>
      <x:c r="B2" s="88"/>
      <x:c r="C2" s="88"/>
      <x:c r="D2" s="88"/>
      <x:c r="E2" s="88"/>
      <x:c r="F2" s="88"/>
      <x:c r="G2" s="88"/>
      <x:c r="H2" s="88"/>
      <x:c r="I2" s="88"/>
      <x:c r="J2" s="88"/>
      <x:c r="K2" s="88"/>
      <x:c r="L2" s="88"/>
      <x:c r="M2" s="88"/>
      <x:c r="N2" s="88"/>
      <x:c r="O2" s="88"/>
      <x:c r="P2" s="88"/>
      <x:c r="Q2" s="88"/>
      <x:c r="R2" s="88"/>
      <x:c r="S2" s="88"/>
    </x:row>
    <x:row r="3">
      <x:c r="A3" s="13" t="str">
        <x:v>Q2-Q4 hiring focuses on precision production, quality, engineering, embedded systems, data and HR capability.</x:v>
      </x:c>
      <x:c r="B3" s="13"/>
      <x:c r="C3" s="13"/>
      <x:c r="D3" s="13"/>
      <x:c r="E3" s="13"/>
      <x:c r="F3" s="13"/>
      <x:c r="G3" s="13"/>
      <x:c r="H3" s="13"/>
      <x:c r="I3" s="13"/>
      <x:c r="J3" s="13"/>
      <x:c r="K3" s="13"/>
      <x:c r="L3" s="13"/>
      <x:c r="M3" s="13"/>
      <x:c r="N3" s="13"/>
      <x:c r="O3" s="13"/>
      <x:c r="P3" s="13"/>
      <x:c r="Q3" s="13"/>
      <x:c r="R3" s="13"/>
      <x:c r="S3" s="13"/>
    </x:row>
    <x:row r="5" ht="30" customHeight="1">
      <x:c r="A5" s="135" t="str">
        <x:v>Requisition_ID</x:v>
      </x:c>
      <x:c r="B5" s="135" t="str">
        <x:v>Quarter</x:v>
      </x:c>
      <x:c r="C5" s="135" t="str">
        <x:v>Department</x:v>
      </x:c>
      <x:c r="D5" s="135" t="str">
        <x:v>Position</x:v>
      </x:c>
      <x:c r="E5" s="135" t="str">
        <x:v>Critical_Role</x:v>
      </x:c>
      <x:c r="F5" s="135" t="str">
        <x:v>Open_Date</x:v>
      </x:c>
      <x:c r="G5" s="135" t="str">
        <x:v>Close_Date</x:v>
      </x:c>
      <x:c r="H5" s="135" t="str">
        <x:v>Approved_Headcount</x:v>
      </x:c>
      <x:c r="I5" s="135" t="str">
        <x:v>Applications</x:v>
      </x:c>
      <x:c r="J5" s="135" t="str">
        <x:v>Screened</x:v>
      </x:c>
      <x:c r="K5" s="135" t="str">
        <x:v>Interviewed</x:v>
      </x:c>
      <x:c r="L5" s="135" t="str">
        <x:v>Offers_Made</x:v>
      </x:c>
      <x:c r="M5" s="135" t="str">
        <x:v>Offers_Accepted</x:v>
      </x:c>
      <x:c r="N5" s="135" t="str">
        <x:v>Hires_Joined</x:v>
      </x:c>
      <x:c r="O5" s="135" t="str">
        <x:v>Primary_Source</x:v>
      </x:c>
      <x:c r="P5" s="135" t="str">
        <x:v>Recruitment_Cost_BDT</x:v>
      </x:c>
      <x:c r="Q5" s="135" t="str">
        <x:v>Time_to_Fill_Days</x:v>
      </x:c>
      <x:c r="R5" s="135" t="str">
        <x:v>Hiring_Manager_Satisfaction</x:v>
      </x:c>
      <x:c r="S5" s="135" t="str">
        <x:v>90_Day_Retention_Rate</x:v>
      </x:c>
      <x:c r="T5" s="115" t="str">
        <x:v>Offer_Acceptance_Rate</x:v>
      </x:c>
    </x:row>
    <x:row r="6">
      <x:c r="A6" s="141" t="str">
        <x:v>REQ-002</x:v>
      </x:c>
      <x:c r="B6" s="141" t="str">
        <x:v>Q2</x:v>
      </x:c>
      <x:c r="C6" s="141" t="str">
        <x:v>Smartwatch Production</x:v>
      </x:c>
      <x:c r="D6" s="141" t="str">
        <x:v>SMT Line Technician</x:v>
      </x:c>
      <x:c r="E6" s="141" t="str">
        <x:v>No</x:v>
      </x:c>
      <x:c r="F6" s="171" t="n">
        <x:v>46139</x:v>
      </x:c>
      <x:c r="G6" s="171" t="n">
        <x:v>46192</x:v>
      </x:c>
      <x:c r="H6" s="141" t="n">
        <x:v>2</x:v>
      </x:c>
      <x:c r="I6" s="141" t="n">
        <x:v>30</x:v>
      </x:c>
      <x:c r="J6" s="141" t="n">
        <x:v>18</x:v>
      </x:c>
      <x:c r="K6" s="141" t="n">
        <x:v>8</x:v>
      </x:c>
      <x:c r="L6" s="141" t="n">
        <x:v>6</x:v>
      </x:c>
      <x:c r="M6" s="141" t="n">
        <x:v>2</x:v>
      </x:c>
      <x:c r="N6" s="141" t="n">
        <x:v>2</x:v>
      </x:c>
      <x:c r="O6" s="141" t="str">
        <x:v>LinkedIn</x:v>
      </x:c>
      <x:c r="P6" s="173" t="n">
        <x:v>79922</x:v>
      </x:c>
      <x:c r="Q6" s="141" t="n">
        <x:v>53</x:v>
      </x:c>
      <x:c r="R6" s="141" t="n">
        <x:v>4.1</x:v>
      </x:c>
      <x:c r="S6" s="141" t="n">
        <x:v>0.95</x:v>
      </x:c>
      <x:c r="T6" s="84" t="n">
        <x:f>IFERROR(M6/L6,0)</x:f>
        <x:v>0.3333333333333333</x:v>
      </x:c>
    </x:row>
    <x:row r="7">
      <x:c r="A7" s="141" t="str">
        <x:v>REQ-003</x:v>
      </x:c>
      <x:c r="B7" s="141" t="str">
        <x:v>Q2</x:v>
      </x:c>
      <x:c r="C7" s="141" t="str">
        <x:v>Smartwatch Production</x:v>
      </x:c>
      <x:c r="D7" s="141" t="str">
        <x:v>Precision Assembly Technician</x:v>
      </x:c>
      <x:c r="E7" s="141" t="str">
        <x:v>No</x:v>
      </x:c>
      <x:c r="F7" s="171" t="n">
        <x:v>46190</x:v>
      </x:c>
      <x:c r="G7" s="171" t="n">
        <x:v>46203</x:v>
      </x:c>
      <x:c r="H7" s="141" t="n">
        <x:v>2</x:v>
      </x:c>
      <x:c r="I7" s="141" t="n">
        <x:v>28</x:v>
      </x:c>
      <x:c r="J7" s="141" t="n">
        <x:v>15</x:v>
      </x:c>
      <x:c r="K7" s="141" t="n">
        <x:v>8</x:v>
      </x:c>
      <x:c r="L7" s="141" t="n">
        <x:v>5</x:v>
      </x:c>
      <x:c r="M7" s="141" t="n">
        <x:v>2</x:v>
      </x:c>
      <x:c r="N7" s="141" t="n">
        <x:v>2</x:v>
      </x:c>
      <x:c r="O7" s="141" t="str">
        <x:v>Agency</x:v>
      </x:c>
      <x:c r="P7" s="173" t="n">
        <x:v>83614</x:v>
      </x:c>
      <x:c r="Q7" s="141" t="n">
        <x:v>13</x:v>
      </x:c>
      <x:c r="R7" s="141" t="n">
        <x:v>4.3</x:v>
      </x:c>
      <x:c r="S7" s="141" t="n">
        <x:v>0.95</x:v>
      </x:c>
      <x:c r="T7" s="84" t="n">
        <x:f>IFERROR(M7/L7,0)</x:f>
        <x:v>0.4</x:v>
      </x:c>
    </x:row>
    <x:row r="8">
      <x:c r="A8" s="141" t="str">
        <x:v>REQ-004</x:v>
      </x:c>
      <x:c r="B8" s="141" t="str">
        <x:v>Q2</x:v>
      </x:c>
      <x:c r="C8" s="141" t="str">
        <x:v>Smartwatch Production</x:v>
      </x:c>
      <x:c r="D8" s="141" t="str">
        <x:v>Production Manager</x:v>
      </x:c>
      <x:c r="E8" s="141" t="str">
        <x:v>No</x:v>
      </x:c>
      <x:c r="F8" s="171" t="n">
        <x:v>46167</x:v>
      </x:c>
      <x:c r="G8" s="171" t="n">
        <x:v>46203</x:v>
      </x:c>
      <x:c r="H8" s="141" t="n">
        <x:v>2</x:v>
      </x:c>
      <x:c r="I8" s="141" t="n">
        <x:v>24</x:v>
      </x:c>
      <x:c r="J8" s="141" t="n">
        <x:v>11</x:v>
      </x:c>
      <x:c r="K8" s="141" t="n">
        <x:v>7</x:v>
      </x:c>
      <x:c r="L8" s="141" t="n">
        <x:v>4</x:v>
      </x:c>
      <x:c r="M8" s="141" t="n">
        <x:v>2</x:v>
      </x:c>
      <x:c r="N8" s="141" t="n">
        <x:v>2</x:v>
      </x:c>
      <x:c r="O8" s="141" t="str">
        <x:v>LinkedIn</x:v>
      </x:c>
      <x:c r="P8" s="173" t="n">
        <x:v>61584</x:v>
      </x:c>
      <x:c r="Q8" s="141" t="n">
        <x:v>36</x:v>
      </x:c>
      <x:c r="R8" s="141" t="n">
        <x:v>4</x:v>
      </x:c>
      <x:c r="S8" s="141" t="n">
        <x:v>0.96</x:v>
      </x:c>
      <x:c r="T8" s="84" t="n">
        <x:f>IFERROR(M8/L8,0)</x:f>
        <x:v>0.5</x:v>
      </x:c>
    </x:row>
    <x:row r="9">
      <x:c r="A9" s="141" t="str">
        <x:v>REQ-005</x:v>
      </x:c>
      <x:c r="B9" s="141" t="str">
        <x:v>Q2</x:v>
      </x:c>
      <x:c r="C9" s="141" t="str">
        <x:v>Smartwatch Production</x:v>
      </x:c>
      <x:c r="D9" s="141" t="str">
        <x:v>Assembly Operator</x:v>
      </x:c>
      <x:c r="E9" s="141" t="str">
        <x:v>No</x:v>
      </x:c>
      <x:c r="F9" s="171" t="n">
        <x:v>46160</x:v>
      </x:c>
      <x:c r="G9" s="171" t="n">
        <x:v>46191</x:v>
      </x:c>
      <x:c r="H9" s="141" t="n">
        <x:v>1</x:v>
      </x:c>
      <x:c r="I9" s="141" t="n">
        <x:v>9</x:v>
      </x:c>
      <x:c r="J9" s="141" t="n">
        <x:v>4</x:v>
      </x:c>
      <x:c r="K9" s="141" t="n">
        <x:v>1</x:v>
      </x:c>
      <x:c r="L9" s="141" t="n">
        <x:v>1</x:v>
      </x:c>
      <x:c r="M9" s="141" t="n">
        <x:v>1</x:v>
      </x:c>
      <x:c r="N9" s="141" t="n">
        <x:v>1</x:v>
      </x:c>
      <x:c r="O9" s="141" t="str">
        <x:v>University Career Centre</x:v>
      </x:c>
      <x:c r="P9" s="173" t="n">
        <x:v>33204</x:v>
      </x:c>
      <x:c r="Q9" s="141" t="n">
        <x:v>31</x:v>
      </x:c>
      <x:c r="R9" s="141" t="n">
        <x:v>4.1</x:v>
      </x:c>
      <x:c r="S9" s="141" t="n">
        <x:v>0.98</x:v>
      </x:c>
      <x:c r="T9" s="84" t="n">
        <x:f>IFERROR(M9/L9,0)</x:f>
        <x:v>1</x:v>
      </x:c>
    </x:row>
    <x:row r="10">
      <x:c r="A10" s="141" t="str">
        <x:v>REQ-006</x:v>
      </x:c>
      <x:c r="B10" s="141" t="str">
        <x:v>Q2</x:v>
      </x:c>
      <x:c r="C10" s="141" t="str">
        <x:v>Smartwatch Production</x:v>
      </x:c>
      <x:c r="D10" s="141" t="str">
        <x:v>Production Supervisor</x:v>
      </x:c>
      <x:c r="E10" s="141" t="str">
        <x:v>No</x:v>
      </x:c>
      <x:c r="F10" s="171" t="n">
        <x:v>46124</x:v>
      </x:c>
      <x:c r="G10" s="171" t="n">
        <x:v>46174</x:v>
      </x:c>
      <x:c r="H10" s="141" t="n">
        <x:v>1</x:v>
      </x:c>
      <x:c r="I10" s="141" t="n">
        <x:v>16</x:v>
      </x:c>
      <x:c r="J10" s="141" t="n">
        <x:v>10</x:v>
      </x:c>
      <x:c r="K10" s="141" t="n">
        <x:v>6</x:v>
      </x:c>
      <x:c r="L10" s="141" t="n">
        <x:v>4</x:v>
      </x:c>
      <x:c r="M10" s="141" t="n">
        <x:v>1</x:v>
      </x:c>
      <x:c r="N10" s="141" t="n">
        <x:v>1</x:v>
      </x:c>
      <x:c r="O10" s="141" t="str">
        <x:v>Walk-in</x:v>
      </x:c>
      <x:c r="P10" s="173" t="n">
        <x:v>29798</x:v>
      </x:c>
      <x:c r="Q10" s="141" t="n">
        <x:v>50</x:v>
      </x:c>
      <x:c r="R10" s="141" t="n">
        <x:v>4.3</x:v>
      </x:c>
      <x:c r="S10" s="141" t="n">
        <x:v>0.94</x:v>
      </x:c>
      <x:c r="T10" s="84" t="n">
        <x:f>IFERROR(M10/L10,0)</x:f>
        <x:v>0.25</x:v>
      </x:c>
    </x:row>
    <x:row r="11">
      <x:c r="A11" s="141" t="str">
        <x:v>REQ-007</x:v>
      </x:c>
      <x:c r="B11" s="141" t="str">
        <x:v>Q2</x:v>
      </x:c>
      <x:c r="C11" s="141" t="str">
        <x:v>Quality Assurance</x:v>
      </x:c>
      <x:c r="D11" s="141" t="str">
        <x:v>Quality Technician</x:v>
      </x:c>
      <x:c r="E11" s="141" t="str">
        <x:v>Yes</x:v>
      </x:c>
      <x:c r="F11" s="171" t="n">
        <x:v>46140</x:v>
      </x:c>
      <x:c r="G11" s="171" t="n">
        <x:v>46183</x:v>
      </x:c>
      <x:c r="H11" s="141" t="n">
        <x:v>3</x:v>
      </x:c>
      <x:c r="I11" s="141" t="n">
        <x:v>33</x:v>
      </x:c>
      <x:c r="J11" s="141" t="n">
        <x:v>16</x:v>
      </x:c>
      <x:c r="K11" s="141" t="n">
        <x:v>10</x:v>
      </x:c>
      <x:c r="L11" s="141" t="n">
        <x:v>5</x:v>
      </x:c>
      <x:c r="M11" s="141" t="n">
        <x:v>3</x:v>
      </x:c>
      <x:c r="N11" s="141" t="n">
        <x:v>3</x:v>
      </x:c>
      <x:c r="O11" s="141" t="str">
        <x:v>Bdjobs</x:v>
      </x:c>
      <x:c r="P11" s="173" t="n">
        <x:v>122355</x:v>
      </x:c>
      <x:c r="Q11" s="141" t="n">
        <x:v>43</x:v>
      </x:c>
      <x:c r="R11" s="141" t="n">
        <x:v>4.1</x:v>
      </x:c>
      <x:c r="S11" s="141" t="n">
        <x:v>0.88</x:v>
      </x:c>
      <x:c r="T11" s="84" t="n">
        <x:f>IFERROR(M11/L11,0)</x:f>
        <x:v>0.6</x:v>
      </x:c>
    </x:row>
    <x:row r="12">
      <x:c r="A12" s="141" t="str">
        <x:v>REQ-008</x:v>
      </x:c>
      <x:c r="B12" s="141" t="str">
        <x:v>Q2</x:v>
      </x:c>
      <x:c r="C12" s="141" t="str">
        <x:v>Engineering and Maintenance</x:v>
      </x:c>
      <x:c r="D12" s="141" t="str">
        <x:v>Automation Technician</x:v>
      </x:c>
      <x:c r="E12" s="141" t="str">
        <x:v>Yes</x:v>
      </x:c>
      <x:c r="F12" s="171" t="n">
        <x:v>46156</x:v>
      </x:c>
      <x:c r="G12" s="171" t="n">
        <x:v>46203</x:v>
      </x:c>
      <x:c r="H12" s="141" t="n">
        <x:v>2</x:v>
      </x:c>
      <x:c r="I12" s="141" t="n">
        <x:v>28</x:v>
      </x:c>
      <x:c r="J12" s="141" t="n">
        <x:v>17</x:v>
      </x:c>
      <x:c r="K12" s="141" t="n">
        <x:v>7</x:v>
      </x:c>
      <x:c r="L12" s="141" t="n">
        <x:v>5</x:v>
      </x:c>
      <x:c r="M12" s="141" t="n">
        <x:v>2</x:v>
      </x:c>
      <x:c r="N12" s="141" t="n">
        <x:v>2</x:v>
      </x:c>
      <x:c r="O12" s="141" t="str">
        <x:v>Walk-in</x:v>
      </x:c>
      <x:c r="P12" s="173" t="n">
        <x:v>65240</x:v>
      </x:c>
      <x:c r="Q12" s="141" t="n">
        <x:v>47</x:v>
      </x:c>
      <x:c r="R12" s="141" t="n">
        <x:v>4</x:v>
      </x:c>
      <x:c r="S12" s="141" t="n">
        <x:v>0.9</x:v>
      </x:c>
      <x:c r="T12" s="84" t="n">
        <x:f>IFERROR(M12/L12,0)</x:f>
        <x:v>0.4</x:v>
      </x:c>
    </x:row>
    <x:row r="13">
      <x:c r="A13" s="141" t="str">
        <x:v>REQ-009</x:v>
      </x:c>
      <x:c r="B13" s="141" t="str">
        <x:v>Q2</x:v>
      </x:c>
      <x:c r="C13" s="141" t="str">
        <x:v>Research and Development</x:v>
      </x:c>
      <x:c r="D13" s="141" t="str">
        <x:v>IoT Engineer</x:v>
      </x:c>
      <x:c r="E13" s="141" t="str">
        <x:v>Yes</x:v>
      </x:c>
      <x:c r="F13" s="171" t="n">
        <x:v>46138</x:v>
      </x:c>
      <x:c r="G13" s="171" t="n">
        <x:v>46178</x:v>
      </x:c>
      <x:c r="H13" s="141" t="n">
        <x:v>2</x:v>
      </x:c>
      <x:c r="I13" s="141" t="n">
        <x:v>30</x:v>
      </x:c>
      <x:c r="J13" s="141" t="n">
        <x:v>18</x:v>
      </x:c>
      <x:c r="K13" s="141" t="n">
        <x:v>11</x:v>
      </x:c>
      <x:c r="L13" s="141" t="n">
        <x:v>7</x:v>
      </x:c>
      <x:c r="M13" s="141" t="n">
        <x:v>2</x:v>
      </x:c>
      <x:c r="N13" s="141" t="n">
        <x:v>2</x:v>
      </x:c>
      <x:c r="O13" s="141" t="str">
        <x:v>LinkedIn</x:v>
      </x:c>
      <x:c r="P13" s="173" t="n">
        <x:v>56636</x:v>
      </x:c>
      <x:c r="Q13" s="141" t="n">
        <x:v>40</x:v>
      </x:c>
      <x:c r="R13" s="141" t="n">
        <x:v>4</x:v>
      </x:c>
      <x:c r="S13" s="141" t="n">
        <x:v>0.88</x:v>
      </x:c>
      <x:c r="T13" s="84" t="n">
        <x:f>IFERROR(M13/L13,0)</x:f>
        <x:v>0.2857142857142857</x:v>
      </x:c>
    </x:row>
    <x:row r="14">
      <x:c r="A14" s="141" t="str">
        <x:v>REQ-010</x:v>
      </x:c>
      <x:c r="B14" s="141" t="str">
        <x:v>Q2</x:v>
      </x:c>
      <x:c r="C14" s="141" t="str">
        <x:v>IT Data and HRIS</x:v>
      </x:c>
      <x:c r="D14" s="141" t="str">
        <x:v>HRIS Analyst</x:v>
      </x:c>
      <x:c r="E14" s="141" t="str">
        <x:v>Yes</x:v>
      </x:c>
      <x:c r="F14" s="171" t="n">
        <x:v>46181</x:v>
      </x:c>
      <x:c r="G14" s="171" t="n">
        <x:v>46203</x:v>
      </x:c>
      <x:c r="H14" s="141" t="n">
        <x:v>1</x:v>
      </x:c>
      <x:c r="I14" s="141" t="n">
        <x:v>10</x:v>
      </x:c>
      <x:c r="J14" s="141" t="n">
        <x:v>6</x:v>
      </x:c>
      <x:c r="K14" s="141" t="n">
        <x:v>3</x:v>
      </x:c>
      <x:c r="L14" s="141" t="n">
        <x:v>2</x:v>
      </x:c>
      <x:c r="M14" s="141" t="n">
        <x:v>1</x:v>
      </x:c>
      <x:c r="N14" s="141" t="n">
        <x:v>1</x:v>
      </x:c>
      <x:c r="O14" s="141" t="str">
        <x:v>LinkedIn</x:v>
      </x:c>
      <x:c r="P14" s="173" t="n">
        <x:v>18700</x:v>
      </x:c>
      <x:c r="Q14" s="141" t="n">
        <x:v>22</x:v>
      </x:c>
      <x:c r="R14" s="141" t="n">
        <x:v>3.7</x:v>
      </x:c>
      <x:c r="S14" s="141" t="n">
        <x:v>0.86</x:v>
      </x:c>
      <x:c r="T14" s="84" t="n">
        <x:f>IFERROR(M14/L14,0)</x:f>
        <x:v>0.5</x:v>
      </x:c>
    </x:row>
    <x:row r="15">
      <x:c r="A15" s="141" t="str">
        <x:v>REQ-011</x:v>
      </x:c>
      <x:c r="B15" s="141" t="str">
        <x:v>Q2</x:v>
      </x:c>
      <x:c r="C15" s="141" t="str">
        <x:v>IT Data and HRIS</x:v>
      </x:c>
      <x:c r="D15" s="141" t="str">
        <x:v>Data Analyst</x:v>
      </x:c>
      <x:c r="E15" s="141" t="str">
        <x:v>Yes</x:v>
      </x:c>
      <x:c r="F15" s="171" t="n">
        <x:v>46187</x:v>
      </x:c>
      <x:c r="G15" s="171" t="n">
        <x:v>46203</x:v>
      </x:c>
      <x:c r="H15" s="141" t="n">
        <x:v>1</x:v>
      </x:c>
      <x:c r="I15" s="141" t="n">
        <x:v>15</x:v>
      </x:c>
      <x:c r="J15" s="141" t="n">
        <x:v>7</x:v>
      </x:c>
      <x:c r="K15" s="141" t="n">
        <x:v>3</x:v>
      </x:c>
      <x:c r="L15" s="141" t="n">
        <x:v>2</x:v>
      </x:c>
      <x:c r="M15" s="141" t="n">
        <x:v>1</x:v>
      </x:c>
      <x:c r="N15" s="141" t="n">
        <x:v>1</x:v>
      </x:c>
      <x:c r="O15" s="141" t="str">
        <x:v>Agency</x:v>
      </x:c>
      <x:c r="P15" s="173" t="n">
        <x:v>13207</x:v>
      </x:c>
      <x:c r="Q15" s="141" t="n">
        <x:v>16</x:v>
      </x:c>
      <x:c r="R15" s="141" t="n">
        <x:v>3.8</x:v>
      </x:c>
      <x:c r="S15" s="141" t="n">
        <x:v>0.87</x:v>
      </x:c>
      <x:c r="T15" s="84" t="n">
        <x:f>IFERROR(M15/L15,0)</x:f>
        <x:v>0.5</x:v>
      </x:c>
    </x:row>
    <x:row r="16">
      <x:c r="A16" s="141" t="str">
        <x:v>REQ-012</x:v>
      </x:c>
      <x:c r="B16" s="141" t="str">
        <x:v>Q2</x:v>
      </x:c>
      <x:c r="C16" s="141" t="str">
        <x:v>Human Resources and People</x:v>
      </x:c>
      <x:c r="D16" s="141" t="str">
        <x:v>People Analytics Analyst</x:v>
      </x:c>
      <x:c r="E16" s="141" t="str">
        <x:v>No</x:v>
      </x:c>
      <x:c r="F16" s="171" t="n">
        <x:v>46185</x:v>
      </x:c>
      <x:c r="G16" s="171" t="n">
        <x:v>46203</x:v>
      </x:c>
      <x:c r="H16" s="141" t="n">
        <x:v>1</x:v>
      </x:c>
      <x:c r="I16" s="141" t="n">
        <x:v>15</x:v>
      </x:c>
      <x:c r="J16" s="141" t="n">
        <x:v>7</x:v>
      </x:c>
      <x:c r="K16" s="141" t="n">
        <x:v>3</x:v>
      </x:c>
      <x:c r="L16" s="141" t="n">
        <x:v>2</x:v>
      </x:c>
      <x:c r="M16" s="141" t="n">
        <x:v>1</x:v>
      </x:c>
      <x:c r="N16" s="141" t="n">
        <x:v>1</x:v>
      </x:c>
      <x:c r="O16" s="141" t="str">
        <x:v>Bdjobs</x:v>
      </x:c>
      <x:c r="P16" s="173" t="n">
        <x:v>30946</x:v>
      </x:c>
      <x:c r="Q16" s="141" t="n">
        <x:v>18</x:v>
      </x:c>
      <x:c r="R16" s="141" t="n">
        <x:v>4.6</x:v>
      </x:c>
      <x:c r="S16" s="141" t="n">
        <x:v>0.93</x:v>
      </x:c>
      <x:c r="T16" s="84" t="n">
        <x:f>IFERROR(M16/L16,0)</x:f>
        <x:v>0.5</x:v>
      </x:c>
    </x:row>
    <x:row r="17">
      <x:c r="A17" s="141" t="str">
        <x:v>REQ-013</x:v>
      </x:c>
      <x:c r="B17" s="141" t="str">
        <x:v>Q2</x:v>
      </x:c>
      <x:c r="C17" s="141" t="str">
        <x:v>Supply Chain and Planning</x:v>
      </x:c>
      <x:c r="D17" s="141" t="str">
        <x:v>Inventory Controller</x:v>
      </x:c>
      <x:c r="E17" s="141" t="str">
        <x:v>No</x:v>
      </x:c>
      <x:c r="F17" s="171" t="n">
        <x:v>46164</x:v>
      </x:c>
      <x:c r="G17" s="171" t="n">
        <x:v>46192</x:v>
      </x:c>
      <x:c r="H17" s="141" t="n">
        <x:v>1</x:v>
      </x:c>
      <x:c r="I17" s="141" t="n">
        <x:v>16</x:v>
      </x:c>
      <x:c r="J17" s="141" t="n">
        <x:v>10</x:v>
      </x:c>
      <x:c r="K17" s="141" t="n">
        <x:v>4</x:v>
      </x:c>
      <x:c r="L17" s="141" t="n">
        <x:v>2</x:v>
      </x:c>
      <x:c r="M17" s="141" t="n">
        <x:v>1</x:v>
      </x:c>
      <x:c r="N17" s="141" t="n">
        <x:v>1</x:v>
      </x:c>
      <x:c r="O17" s="141" t="str">
        <x:v>Bdjobs</x:v>
      </x:c>
      <x:c r="P17" s="173" t="n">
        <x:v>39985</x:v>
      </x:c>
      <x:c r="Q17" s="141" t="n">
        <x:v>28</x:v>
      </x:c>
      <x:c r="R17" s="141" t="n">
        <x:v>3.7</x:v>
      </x:c>
      <x:c r="S17" s="141" t="n">
        <x:v>0.88</x:v>
      </x:c>
      <x:c r="T17" s="84" t="n">
        <x:f>IFERROR(M17/L17,0)</x:f>
        <x:v>0.5</x:v>
      </x:c>
    </x:row>
    <x:row r="18">
      <x:c r="A18" s="141" t="str">
        <x:v>REQ-014</x:v>
      </x:c>
      <x:c r="B18" s="141" t="str">
        <x:v>Q2</x:v>
      </x:c>
      <x:c r="C18" s="141" t="str">
        <x:v>EHS and Regulatory Compliance</x:v>
      </x:c>
      <x:c r="D18" s="141" t="str">
        <x:v>Compliance Executive</x:v>
      </x:c>
      <x:c r="E18" s="141" t="str">
        <x:v>No</x:v>
      </x:c>
      <x:c r="F18" s="171" t="n">
        <x:v>46191</x:v>
      </x:c>
      <x:c r="G18" s="171" t="n">
        <x:v>46203</x:v>
      </x:c>
      <x:c r="H18" s="141" t="n">
        <x:v>1</x:v>
      </x:c>
      <x:c r="I18" s="141" t="n">
        <x:v>9</x:v>
      </x:c>
      <x:c r="J18" s="141" t="n">
        <x:v>5</x:v>
      </x:c>
      <x:c r="K18" s="141" t="n">
        <x:v>2</x:v>
      </x:c>
      <x:c r="L18" s="141" t="n">
        <x:v>1</x:v>
      </x:c>
      <x:c r="M18" s="141" t="n">
        <x:v>1</x:v>
      </x:c>
      <x:c r="N18" s="141" t="n">
        <x:v>1</x:v>
      </x:c>
      <x:c r="O18" s="141" t="str">
        <x:v>Employee Referral</x:v>
      </x:c>
      <x:c r="P18" s="173" t="n">
        <x:v>16546</x:v>
      </x:c>
      <x:c r="Q18" s="141" t="n">
        <x:v>12</x:v>
      </x:c>
      <x:c r="R18" s="141" t="n">
        <x:v>4.1</x:v>
      </x:c>
      <x:c r="S18" s="141" t="n">
        <x:v>0.94</x:v>
      </x:c>
      <x:c r="T18" s="84" t="n">
        <x:f>IFERROR(M18/L18,0)</x:f>
        <x:v>1</x:v>
      </x:c>
    </x:row>
    <x:row r="19">
      <x:c r="A19" s="141" t="str">
        <x:v>REQ-015</x:v>
      </x:c>
      <x:c r="B19" s="141" t="str">
        <x:v>Q3</x:v>
      </x:c>
      <x:c r="C19" s="141" t="str">
        <x:v>Smartwatch Production</x:v>
      </x:c>
      <x:c r="D19" s="141" t="str">
        <x:v>Precision Assembly Technician</x:v>
      </x:c>
      <x:c r="E19" s="141" t="str">
        <x:v>No</x:v>
      </x:c>
      <x:c r="F19" s="171" t="n">
        <x:v>46263</x:v>
      </x:c>
      <x:c r="G19" s="171" t="n">
        <x:v>46285</x:v>
      </x:c>
      <x:c r="H19" s="141" t="n">
        <x:v>3</x:v>
      </x:c>
      <x:c r="I19" s="141" t="n">
        <x:v>54</x:v>
      </x:c>
      <x:c r="J19" s="141" t="n">
        <x:v>29</x:v>
      </x:c>
      <x:c r="K19" s="141" t="n">
        <x:v>16</x:v>
      </x:c>
      <x:c r="L19" s="141" t="n">
        <x:v>10</x:v>
      </x:c>
      <x:c r="M19" s="141" t="n">
        <x:v>3</x:v>
      </x:c>
      <x:c r="N19" s="141" t="n">
        <x:v>3</x:v>
      </x:c>
      <x:c r="O19" s="141" t="str">
        <x:v>University Career Centre</x:v>
      </x:c>
      <x:c r="P19" s="173" t="n">
        <x:v>73902</x:v>
      </x:c>
      <x:c r="Q19" s="141" t="n">
        <x:v>22</x:v>
      </x:c>
      <x:c r="R19" s="141" t="n">
        <x:v>4.5</x:v>
      </x:c>
      <x:c r="S19" s="141" t="n">
        <x:v>0.87</x:v>
      </x:c>
      <x:c r="T19" s="84" t="n">
        <x:f>IFERROR(M19/L19,0)</x:f>
        <x:v>0.3</x:v>
      </x:c>
    </x:row>
    <x:row r="20">
      <x:c r="A20" s="141" t="str">
        <x:v>REQ-016</x:v>
      </x:c>
      <x:c r="B20" s="141" t="str">
        <x:v>Q3</x:v>
      </x:c>
      <x:c r="C20" s="141" t="str">
        <x:v>Smartwatch Production</x:v>
      </x:c>
      <x:c r="D20" s="141" t="str">
        <x:v>SMT Line Technician</x:v>
      </x:c>
      <x:c r="E20" s="141" t="str">
        <x:v>No</x:v>
      </x:c>
      <x:c r="F20" s="171" t="n">
        <x:v>46219</x:v>
      </x:c>
      <x:c r="G20" s="171" t="n">
        <x:v>46272</x:v>
      </x:c>
      <x:c r="H20" s="141" t="n">
        <x:v>4</x:v>
      </x:c>
      <x:c r="I20" s="141" t="n">
        <x:v>60</x:v>
      </x:c>
      <x:c r="J20" s="141" t="n">
        <x:v>33</x:v>
      </x:c>
      <x:c r="K20" s="141" t="n">
        <x:v>18</x:v>
      </x:c>
      <x:c r="L20" s="141" t="n">
        <x:v>13</x:v>
      </x:c>
      <x:c r="M20" s="141" t="n">
        <x:v>4</x:v>
      </x:c>
      <x:c r="N20" s="141" t="n">
        <x:v>4</x:v>
      </x:c>
      <x:c r="O20" s="141" t="str">
        <x:v>University Career Centre</x:v>
      </x:c>
      <x:c r="P20" s="173" t="n">
        <x:v>110136</x:v>
      </x:c>
      <x:c r="Q20" s="141" t="n">
        <x:v>53</x:v>
      </x:c>
      <x:c r="R20" s="141" t="n">
        <x:v>3.7</x:v>
      </x:c>
      <x:c r="S20" s="141" t="n">
        <x:v>0.91</x:v>
      </x:c>
      <x:c r="T20" s="84" t="n">
        <x:f>IFERROR(M20/L20,0)</x:f>
        <x:v>0.3076923076923077</x:v>
      </x:c>
    </x:row>
    <x:row r="21">
      <x:c r="A21" s="141" t="str">
        <x:v>REQ-017</x:v>
      </x:c>
      <x:c r="B21" s="141" t="str">
        <x:v>Q3</x:v>
      </x:c>
      <x:c r="C21" s="141" t="str">
        <x:v>Smartwatch Production</x:v>
      </x:c>
      <x:c r="D21" s="141" t="str">
        <x:v>SMT Line Technician</x:v>
      </x:c>
      <x:c r="E21" s="141" t="str">
        <x:v>No</x:v>
      </x:c>
      <x:c r="F21" s="171" t="n">
        <x:v>46258</x:v>
      </x:c>
      <x:c r="G21" s="171" t="n">
        <x:v>46286</x:v>
      </x:c>
      <x:c r="H21" s="141" t="n">
        <x:v>3</x:v>
      </x:c>
      <x:c r="I21" s="141" t="n">
        <x:v>30</x:v>
      </x:c>
      <x:c r="J21" s="141" t="n">
        <x:v>18</x:v>
      </x:c>
      <x:c r="K21" s="141" t="n">
        <x:v>9</x:v>
      </x:c>
      <x:c r="L21" s="141" t="n">
        <x:v>6</x:v>
      </x:c>
      <x:c r="M21" s="141" t="n">
        <x:v>3</x:v>
      </x:c>
      <x:c r="N21" s="141" t="n">
        <x:v>3</x:v>
      </x:c>
      <x:c r="O21" s="141" t="str">
        <x:v>Walk-in</x:v>
      </x:c>
      <x:c r="P21" s="173" t="n">
        <x:v>62454</x:v>
      </x:c>
      <x:c r="Q21" s="141" t="n">
        <x:v>28</x:v>
      </x:c>
      <x:c r="R21" s="141" t="n">
        <x:v>3.7</x:v>
      </x:c>
      <x:c r="S21" s="141" t="n">
        <x:v>0.98</x:v>
      </x:c>
      <x:c r="T21" s="84" t="n">
        <x:f>IFERROR(M21/L21,0)</x:f>
        <x:v>0.5</x:v>
      </x:c>
    </x:row>
    <x:row r="22">
      <x:c r="A22" s="141" t="str">
        <x:v>REQ-018</x:v>
      </x:c>
      <x:c r="B22" s="141" t="str">
        <x:v>Q3</x:v>
      </x:c>
      <x:c r="C22" s="141" t="str">
        <x:v>Smartwatch Production</x:v>
      </x:c>
      <x:c r="D22" s="141" t="str">
        <x:v>Production Supervisor</x:v>
      </x:c>
      <x:c r="E22" s="141" t="str">
        <x:v>No</x:v>
      </x:c>
      <x:c r="F22" s="171" t="n">
        <x:v>46289</x:v>
      </x:c>
      <x:c r="G22" s="171" t="n">
        <x:v>46295</x:v>
      </x:c>
      <x:c r="H22" s="141" t="n">
        <x:v>4</x:v>
      </x:c>
      <x:c r="I22" s="141" t="n">
        <x:v>32</x:v>
      </x:c>
      <x:c r="J22" s="141" t="n">
        <x:v>18</x:v>
      </x:c>
      <x:c r="K22" s="141" t="n">
        <x:v>8</x:v>
      </x:c>
      <x:c r="L22" s="141" t="n">
        <x:v>6</x:v>
      </x:c>
      <x:c r="M22" s="141" t="n">
        <x:v>4</x:v>
      </x:c>
      <x:c r="N22" s="141" t="n">
        <x:v>4</x:v>
      </x:c>
      <x:c r="O22" s="141" t="str">
        <x:v>Agency</x:v>
      </x:c>
      <x:c r="P22" s="173" t="n">
        <x:v>160136</x:v>
      </x:c>
      <x:c r="Q22" s="141" t="n">
        <x:v>6</x:v>
      </x:c>
      <x:c r="R22" s="141" t="n">
        <x:v>4.7</x:v>
      </x:c>
      <x:c r="S22" s="141" t="n">
        <x:v>0.9</x:v>
      </x:c>
      <x:c r="T22" s="84" t="n">
        <x:f>IFERROR(M22/L22,0)</x:f>
        <x:v>0.6666666666666666</x:v>
      </x:c>
    </x:row>
    <x:row r="23">
      <x:c r="A23" s="141" t="str">
        <x:v>REQ-019</x:v>
      </x:c>
      <x:c r="B23" s="141" t="str">
        <x:v>Q3</x:v>
      </x:c>
      <x:c r="C23" s="141" t="str">
        <x:v>Quality Assurance</x:v>
      </x:c>
      <x:c r="D23" s="141" t="str">
        <x:v>Quality Technician</x:v>
      </x:c>
      <x:c r="E23" s="141" t="str">
        <x:v>Yes</x:v>
      </x:c>
      <x:c r="F23" s="171" t="n">
        <x:v>46221</x:v>
      </x:c>
      <x:c r="G23" s="171" t="n">
        <x:v>46263</x:v>
      </x:c>
      <x:c r="H23" s="141" t="n">
        <x:v>1</x:v>
      </x:c>
      <x:c r="I23" s="141" t="n">
        <x:v>16</x:v>
      </x:c>
      <x:c r="J23" s="141" t="n">
        <x:v>8</x:v>
      </x:c>
      <x:c r="K23" s="141" t="n">
        <x:v>3</x:v>
      </x:c>
      <x:c r="L23" s="141" t="n">
        <x:v>2</x:v>
      </x:c>
      <x:c r="M23" s="141" t="n">
        <x:v>1</x:v>
      </x:c>
      <x:c r="N23" s="141" t="n">
        <x:v>1</x:v>
      </x:c>
      <x:c r="O23" s="141" t="str">
        <x:v>Bdjobs</x:v>
      </x:c>
      <x:c r="P23" s="173" t="n">
        <x:v>23139</x:v>
      </x:c>
      <x:c r="Q23" s="141" t="n">
        <x:v>42</x:v>
      </x:c>
      <x:c r="R23" s="141" t="n">
        <x:v>3.8</x:v>
      </x:c>
      <x:c r="S23" s="141" t="n">
        <x:v>0.92</x:v>
      </x:c>
      <x:c r="T23" s="84" t="n">
        <x:f>IFERROR(M23/L23,0)</x:f>
        <x:v>0.5</x:v>
      </x:c>
    </x:row>
    <x:row r="24">
      <x:c r="A24" s="141" t="str">
        <x:v>REQ-020</x:v>
      </x:c>
      <x:c r="B24" s="141" t="str">
        <x:v>Q3</x:v>
      </x:c>
      <x:c r="C24" s="141" t="str">
        <x:v>Quality Assurance</x:v>
      </x:c>
      <x:c r="D24" s="141" t="str">
        <x:v>Quality Inspector</x:v>
      </x:c>
      <x:c r="E24" s="141" t="str">
        <x:v>Yes</x:v>
      </x:c>
      <x:c r="F24" s="171" t="n">
        <x:v>46215</x:v>
      </x:c>
      <x:c r="G24" s="171" t="n">
        <x:v>46254</x:v>
      </x:c>
      <x:c r="H24" s="141" t="n">
        <x:v>3</x:v>
      </x:c>
      <x:c r="I24" s="141" t="n">
        <x:v>27</x:v>
      </x:c>
      <x:c r="J24" s="141" t="n">
        <x:v>15</x:v>
      </x:c>
      <x:c r="K24" s="141" t="n">
        <x:v>8</x:v>
      </x:c>
      <x:c r="L24" s="141" t="n">
        <x:v>6</x:v>
      </x:c>
      <x:c r="M24" s="141" t="n">
        <x:v>3</x:v>
      </x:c>
      <x:c r="N24" s="141" t="n">
        <x:v>3</x:v>
      </x:c>
      <x:c r="O24" s="141" t="str">
        <x:v>Employee Referral</x:v>
      </x:c>
      <x:c r="P24" s="173" t="n">
        <x:v>48519</x:v>
      </x:c>
      <x:c r="Q24" s="141" t="n">
        <x:v>39</x:v>
      </x:c>
      <x:c r="R24" s="141" t="n">
        <x:v>4.4</x:v>
      </x:c>
      <x:c r="S24" s="141" t="n">
        <x:v>0.97</x:v>
      </x:c>
      <x:c r="T24" s="84" t="n">
        <x:f>IFERROR(M24/L24,0)</x:f>
        <x:v>0.5</x:v>
      </x:c>
    </x:row>
    <x:row r="25">
      <x:c r="A25" s="141" t="str">
        <x:v>REQ-021</x:v>
      </x:c>
      <x:c r="B25" s="141" t="str">
        <x:v>Q3</x:v>
      </x:c>
      <x:c r="C25" s="141" t="str">
        <x:v>Engineering and Maintenance</x:v>
      </x:c>
      <x:c r="D25" s="141" t="str">
        <x:v>Maintenance Engineer</x:v>
      </x:c>
      <x:c r="E25" s="141" t="str">
        <x:v>Yes</x:v>
      </x:c>
      <x:c r="F25" s="171" t="n">
        <x:v>46247</x:v>
      </x:c>
      <x:c r="G25" s="171" t="n">
        <x:v>46284</x:v>
      </x:c>
      <x:c r="H25" s="141" t="n">
        <x:v>1</x:v>
      </x:c>
      <x:c r="I25" s="141" t="n">
        <x:v>8</x:v>
      </x:c>
      <x:c r="J25" s="141" t="n">
        <x:v>3</x:v>
      </x:c>
      <x:c r="K25" s="141" t="n">
        <x:v>1</x:v>
      </x:c>
      <x:c r="L25" s="141" t="n">
        <x:v>1</x:v>
      </x:c>
      <x:c r="M25" s="141" t="n">
        <x:v>1</x:v>
      </x:c>
      <x:c r="N25" s="141" t="n">
        <x:v>1</x:v>
      </x:c>
      <x:c r="O25" s="141" t="str">
        <x:v>Agency</x:v>
      </x:c>
      <x:c r="P25" s="173" t="n">
        <x:v>34873</x:v>
      </x:c>
      <x:c r="Q25" s="141" t="n">
        <x:v>37</x:v>
      </x:c>
      <x:c r="R25" s="141" t="n">
        <x:v>4.7</x:v>
      </x:c>
      <x:c r="S25" s="141" t="n">
        <x:v>0.94</x:v>
      </x:c>
      <x:c r="T25" s="84" t="n">
        <x:f>IFERROR(M25/L25,0)</x:f>
        <x:v>1</x:v>
      </x:c>
    </x:row>
    <x:row r="26">
      <x:c r="A26" s="141" t="str">
        <x:v>REQ-022</x:v>
      </x:c>
      <x:c r="B26" s="141" t="str">
        <x:v>Q3</x:v>
      </x:c>
      <x:c r="C26" s="141" t="str">
        <x:v>Engineering and Maintenance</x:v>
      </x:c>
      <x:c r="D26" s="141" t="str">
        <x:v>Engineering Manager</x:v>
      </x:c>
      <x:c r="E26" s="141" t="str">
        <x:v>Yes</x:v>
      </x:c>
      <x:c r="F26" s="171" t="n">
        <x:v>46263</x:v>
      </x:c>
      <x:c r="G26" s="171" t="n">
        <x:v>46295</x:v>
      </x:c>
      <x:c r="H26" s="141" t="n">
        <x:v>2</x:v>
      </x:c>
      <x:c r="I26" s="141" t="n">
        <x:v>36</x:v>
      </x:c>
      <x:c r="J26" s="141" t="n">
        <x:v>16</x:v>
      </x:c>
      <x:c r="K26" s="141" t="n">
        <x:v>8</x:v>
      </x:c>
      <x:c r="L26" s="141" t="n">
        <x:v>4</x:v>
      </x:c>
      <x:c r="M26" s="141" t="n">
        <x:v>2</x:v>
      </x:c>
      <x:c r="N26" s="141" t="n">
        <x:v>2</x:v>
      </x:c>
      <x:c r="O26" s="141" t="str">
        <x:v>LinkedIn</x:v>
      </x:c>
      <x:c r="P26" s="173" t="n">
        <x:v>27540</x:v>
      </x:c>
      <x:c r="Q26" s="141" t="n">
        <x:v>32</x:v>
      </x:c>
      <x:c r="R26" s="141" t="n">
        <x:v>4.3</x:v>
      </x:c>
      <x:c r="S26" s="141" t="n">
        <x:v>0.91</x:v>
      </x:c>
      <x:c r="T26" s="84" t="n">
        <x:f>IFERROR(M26/L26,0)</x:f>
        <x:v>0.5</x:v>
      </x:c>
    </x:row>
    <x:row r="27">
      <x:c r="A27" s="141" t="str">
        <x:v>REQ-023</x:v>
      </x:c>
      <x:c r="B27" s="141" t="str">
        <x:v>Q3</x:v>
      </x:c>
      <x:c r="C27" s="141" t="str">
        <x:v>Research and Development</x:v>
      </x:c>
      <x:c r="D27" s="141" t="str">
        <x:v>R&amp;D Manager</x:v>
      </x:c>
      <x:c r="E27" s="141" t="str">
        <x:v>Yes</x:v>
      </x:c>
      <x:c r="F27" s="171" t="n">
        <x:v>46274</x:v>
      </x:c>
      <x:c r="G27" s="171" t="n">
        <x:v>46295</x:v>
      </x:c>
      <x:c r="H27" s="141" t="n">
        <x:v>3</x:v>
      </x:c>
      <x:c r="I27" s="141" t="n">
        <x:v>54</x:v>
      </x:c>
      <x:c r="J27" s="141" t="n">
        <x:v>25</x:v>
      </x:c>
      <x:c r="K27" s="141" t="n">
        <x:v>15</x:v>
      </x:c>
      <x:c r="L27" s="141" t="n">
        <x:v>8</x:v>
      </x:c>
      <x:c r="M27" s="141" t="n">
        <x:v>3</x:v>
      </x:c>
      <x:c r="N27" s="141" t="n">
        <x:v>3</x:v>
      </x:c>
      <x:c r="O27" s="141" t="str">
        <x:v>University Career Centre</x:v>
      </x:c>
      <x:c r="P27" s="173" t="n">
        <x:v>90498</x:v>
      </x:c>
      <x:c r="Q27" s="141" t="n">
        <x:v>21</x:v>
      </x:c>
      <x:c r="R27" s="141" t="n">
        <x:v>3.7</x:v>
      </x:c>
      <x:c r="S27" s="141" t="n">
        <x:v>0.88</x:v>
      </x:c>
      <x:c r="T27" s="84" t="n">
        <x:f>IFERROR(M27/L27,0)</x:f>
        <x:v>0.375</x:v>
      </x:c>
    </x:row>
    <x:row r="28">
      <x:c r="A28" s="141" t="str">
        <x:v>REQ-024</x:v>
      </x:c>
      <x:c r="B28" s="141" t="str">
        <x:v>Q3</x:v>
      </x:c>
      <x:c r="C28" s="141" t="str">
        <x:v>IT Data and HRIS</x:v>
      </x:c>
      <x:c r="D28" s="141" t="str">
        <x:v>IT Manager</x:v>
      </x:c>
      <x:c r="E28" s="141" t="str">
        <x:v>Yes</x:v>
      </x:c>
      <x:c r="F28" s="171" t="n">
        <x:v>46236</x:v>
      </x:c>
      <x:c r="G28" s="171" t="n">
        <x:v>46290</x:v>
      </x:c>
      <x:c r="H28" s="141" t="n">
        <x:v>2</x:v>
      </x:c>
      <x:c r="I28" s="141" t="n">
        <x:v>24</x:v>
      </x:c>
      <x:c r="J28" s="141" t="n">
        <x:v>10</x:v>
      </x:c>
      <x:c r="K28" s="141" t="n">
        <x:v>6</x:v>
      </x:c>
      <x:c r="L28" s="141" t="n">
        <x:v>3</x:v>
      </x:c>
      <x:c r="M28" s="141" t="n">
        <x:v>2</x:v>
      </x:c>
      <x:c r="N28" s="141" t="n">
        <x:v>2</x:v>
      </x:c>
      <x:c r="O28" s="141" t="str">
        <x:v>Employee Referral</x:v>
      </x:c>
      <x:c r="P28" s="173" t="n">
        <x:v>59642</x:v>
      </x:c>
      <x:c r="Q28" s="141" t="n">
        <x:v>54</x:v>
      </x:c>
      <x:c r="R28" s="141" t="n">
        <x:v>4</x:v>
      </x:c>
      <x:c r="S28" s="141" t="n">
        <x:v>0.93</x:v>
      </x:c>
      <x:c r="T28" s="84" t="n">
        <x:f>IFERROR(M28/L28,0)</x:f>
        <x:v>0.6666666666666666</x:v>
      </x:c>
    </x:row>
    <x:row r="29">
      <x:c r="A29" s="141" t="str">
        <x:v>REQ-025</x:v>
      </x:c>
      <x:c r="B29" s="141" t="str">
        <x:v>Q3</x:v>
      </x:c>
      <x:c r="C29" s="141" t="str">
        <x:v>Sales Distribution and Service</x:v>
      </x:c>
      <x:c r="D29" s="141" t="str">
        <x:v>Service Centre Technician</x:v>
      </x:c>
      <x:c r="E29" s="141" t="str">
        <x:v>No</x:v>
      </x:c>
      <x:c r="F29" s="171" t="n">
        <x:v>46209</x:v>
      </x:c>
      <x:c r="G29" s="171" t="n">
        <x:v>46255</x:v>
      </x:c>
      <x:c r="H29" s="141" t="n">
        <x:v>2</x:v>
      </x:c>
      <x:c r="I29" s="141" t="n">
        <x:v>28</x:v>
      </x:c>
      <x:c r="J29" s="141" t="n">
        <x:v>17</x:v>
      </x:c>
      <x:c r="K29" s="141" t="n">
        <x:v>7</x:v>
      </x:c>
      <x:c r="L29" s="141" t="n">
        <x:v>5</x:v>
      </x:c>
      <x:c r="M29" s="141" t="n">
        <x:v>2</x:v>
      </x:c>
      <x:c r="N29" s="141" t="n">
        <x:v>2</x:v>
      </x:c>
      <x:c r="O29" s="141" t="str">
        <x:v>Employee Referral</x:v>
      </x:c>
      <x:c r="P29" s="173" t="n">
        <x:v>68218</x:v>
      </x:c>
      <x:c r="Q29" s="141" t="n">
        <x:v>46</x:v>
      </x:c>
      <x:c r="R29" s="141" t="n">
        <x:v>4.1</x:v>
      </x:c>
      <x:c r="S29" s="141" t="n">
        <x:v>0.95</x:v>
      </x:c>
      <x:c r="T29" s="84" t="n">
        <x:f>IFERROR(M29/L29,0)</x:f>
        <x:v>0.4</x:v>
      </x:c>
    </x:row>
    <x:row r="30">
      <x:c r="A30" s="141" t="str">
        <x:v>REQ-026</x:v>
      </x:c>
      <x:c r="B30" s="141" t="str">
        <x:v>Q3</x:v>
      </x:c>
      <x:c r="C30" s="141" t="str">
        <x:v>Supply Chain and Planning</x:v>
      </x:c>
      <x:c r="D30" s="141" t="str">
        <x:v>Inventory Controller</x:v>
      </x:c>
      <x:c r="E30" s="141" t="str">
        <x:v>No</x:v>
      </x:c>
      <x:c r="F30" s="171" t="n">
        <x:v>46283</x:v>
      </x:c>
      <x:c r="G30" s="171" t="n">
        <x:v>46295</x:v>
      </x:c>
      <x:c r="H30" s="141" t="n">
        <x:v>2</x:v>
      </x:c>
      <x:c r="I30" s="141" t="n">
        <x:v>24</x:v>
      </x:c>
      <x:c r="J30" s="141" t="n">
        <x:v>12</x:v>
      </x:c>
      <x:c r="K30" s="141" t="n">
        <x:v>7</x:v>
      </x:c>
      <x:c r="L30" s="141" t="n">
        <x:v>4</x:v>
      </x:c>
      <x:c r="M30" s="141" t="n">
        <x:v>2</x:v>
      </x:c>
      <x:c r="N30" s="141" t="n">
        <x:v>2</x:v>
      </x:c>
      <x:c r="O30" s="141" t="str">
        <x:v>LinkedIn</x:v>
      </x:c>
      <x:c r="P30" s="173" t="n">
        <x:v>34586</x:v>
      </x:c>
      <x:c r="Q30" s="141" t="n">
        <x:v>12</x:v>
      </x:c>
      <x:c r="R30" s="141" t="n">
        <x:v>3.5</x:v>
      </x:c>
      <x:c r="S30" s="141" t="n">
        <x:v>0.86</x:v>
      </x:c>
      <x:c r="T30" s="84" t="n">
        <x:f>IFERROR(M30/L30,0)</x:f>
        <x:v>0.5</x:v>
      </x:c>
    </x:row>
    <x:row r="31">
      <x:c r="A31" s="141" t="str">
        <x:v>REQ-027</x:v>
      </x:c>
      <x:c r="B31" s="141" t="str">
        <x:v>Q3</x:v>
      </x:c>
      <x:c r="C31" s="141" t="str">
        <x:v>Human Resources and People</x:v>
      </x:c>
      <x:c r="D31" s="141" t="str">
        <x:v>Learning and Development Specialist</x:v>
      </x:c>
      <x:c r="E31" s="141" t="str">
        <x:v>No</x:v>
      </x:c>
      <x:c r="F31" s="171" t="n">
        <x:v>46219</x:v>
      </x:c>
      <x:c r="G31" s="171" t="n">
        <x:v>46256</x:v>
      </x:c>
      <x:c r="H31" s="141" t="n">
        <x:v>1</x:v>
      </x:c>
      <x:c r="I31" s="141" t="n">
        <x:v>12</x:v>
      </x:c>
      <x:c r="J31" s="141" t="n">
        <x:v>6</x:v>
      </x:c>
      <x:c r="K31" s="141" t="n">
        <x:v>3</x:v>
      </x:c>
      <x:c r="L31" s="141" t="n">
        <x:v>2</x:v>
      </x:c>
      <x:c r="M31" s="141" t="n">
        <x:v>1</x:v>
      </x:c>
      <x:c r="N31" s="141" t="n">
        <x:v>1</x:v>
      </x:c>
      <x:c r="O31" s="141" t="str">
        <x:v>Employee Referral</x:v>
      </x:c>
      <x:c r="P31" s="173" t="n">
        <x:v>37211</x:v>
      </x:c>
      <x:c r="Q31" s="141" t="n">
        <x:v>37</x:v>
      </x:c>
      <x:c r="R31" s="141" t="n">
        <x:v>3.6</x:v>
      </x:c>
      <x:c r="S31" s="141" t="n">
        <x:v>0.96</x:v>
      </x:c>
      <x:c r="T31" s="84" t="n">
        <x:f>IFERROR(M31/L31,0)</x:f>
        <x:v>0.5</x:v>
      </x:c>
    </x:row>
    <x:row r="32">
      <x:c r="A32" s="141" t="str">
        <x:v>REQ-028</x:v>
      </x:c>
      <x:c r="B32" s="141" t="str">
        <x:v>Q3</x:v>
      </x:c>
      <x:c r="C32" s="141" t="str">
        <x:v>Finance and Accounts</x:v>
      </x:c>
      <x:c r="D32" s="141" t="str">
        <x:v>Financial Analyst</x:v>
      </x:c>
      <x:c r="E32" s="141" t="str">
        <x:v>No</x:v>
      </x:c>
      <x:c r="F32" s="171" t="n">
        <x:v>46254</x:v>
      </x:c>
      <x:c r="G32" s="171" t="n">
        <x:v>46276</x:v>
      </x:c>
      <x:c r="H32" s="141" t="n">
        <x:v>1</x:v>
      </x:c>
      <x:c r="I32" s="141" t="n">
        <x:v>14</x:v>
      </x:c>
      <x:c r="J32" s="141" t="n">
        <x:v>8</x:v>
      </x:c>
      <x:c r="K32" s="141" t="n">
        <x:v>3</x:v>
      </x:c>
      <x:c r="L32" s="141" t="n">
        <x:v>1</x:v>
      </x:c>
      <x:c r="M32" s="141" t="n">
        <x:v>1</x:v>
      </x:c>
      <x:c r="N32" s="141" t="n">
        <x:v>1</x:v>
      </x:c>
      <x:c r="O32" s="141" t="str">
        <x:v>University Career Centre</x:v>
      </x:c>
      <x:c r="P32" s="173" t="n">
        <x:v>44208</x:v>
      </x:c>
      <x:c r="Q32" s="141" t="n">
        <x:v>22</x:v>
      </x:c>
      <x:c r="R32" s="141" t="n">
        <x:v>4</x:v>
      </x:c>
      <x:c r="S32" s="141" t="n">
        <x:v>0.88</x:v>
      </x:c>
      <x:c r="T32" s="84" t="n">
        <x:f>IFERROR(M32/L32,0)</x:f>
        <x:v>1</x:v>
      </x:c>
    </x:row>
    <x:row r="33">
      <x:c r="A33" s="141" t="str">
        <x:v>REQ-029</x:v>
      </x:c>
      <x:c r="B33" s="141" t="str">
        <x:v>Q4</x:v>
      </x:c>
      <x:c r="C33" s="141" t="str">
        <x:v>Smartwatch Production</x:v>
      </x:c>
      <x:c r="D33" s="141" t="str">
        <x:v>Assembly Operator</x:v>
      </x:c>
      <x:c r="E33" s="141" t="str">
        <x:v>No</x:v>
      </x:c>
      <x:c r="F33" s="171" t="n">
        <x:v>46337</x:v>
      </x:c>
      <x:c r="G33" s="171" t="n">
        <x:v>46367</x:v>
      </x:c>
      <x:c r="H33" s="141" t="n">
        <x:v>5</x:v>
      </x:c>
      <x:c r="I33" s="141" t="n">
        <x:v>40</x:v>
      </x:c>
      <x:c r="J33" s="141" t="n">
        <x:v>21</x:v>
      </x:c>
      <x:c r="K33" s="141" t="n">
        <x:v>9</x:v>
      </x:c>
      <x:c r="L33" s="141" t="n">
        <x:v>5</x:v>
      </x:c>
      <x:c r="M33" s="141" t="n">
        <x:v>5</x:v>
      </x:c>
      <x:c r="N33" s="141" t="n">
        <x:v>5</x:v>
      </x:c>
      <x:c r="O33" s="141" t="str">
        <x:v>Employee Referral</x:v>
      </x:c>
      <x:c r="P33" s="173" t="n">
        <x:v>66185</x:v>
      </x:c>
      <x:c r="Q33" s="141" t="n">
        <x:v>30</x:v>
      </x:c>
      <x:c r="R33" s="141" t="n">
        <x:v>4</x:v>
      </x:c>
      <x:c r="S33" s="141" t="n">
        <x:v>0.88</x:v>
      </x:c>
      <x:c r="T33" s="84" t="n">
        <x:f>IFERROR(M33/L33,0)</x:f>
        <x:v>1</x:v>
      </x:c>
    </x:row>
    <x:row r="34">
      <x:c r="A34" s="141" t="str">
        <x:v>REQ-030</x:v>
      </x:c>
      <x:c r="B34" s="141" t="str">
        <x:v>Q4</x:v>
      </x:c>
      <x:c r="C34" s="141" t="str">
        <x:v>Smartwatch Production</x:v>
      </x:c>
      <x:c r="D34" s="141" t="str">
        <x:v>Production Manager</x:v>
      </x:c>
      <x:c r="E34" s="141" t="str">
        <x:v>No</x:v>
      </x:c>
      <x:c r="F34" s="171" t="n">
        <x:v>46371</x:v>
      </x:c>
      <x:c r="G34" s="171" t="n">
        <x:v>46371</x:v>
      </x:c>
      <x:c r="H34" s="141" t="n">
        <x:v>1</x:v>
      </x:c>
      <x:c r="I34" s="141" t="n">
        <x:v>16</x:v>
      </x:c>
      <x:c r="J34" s="141" t="n">
        <x:v>8</x:v>
      </x:c>
      <x:c r="K34" s="141" t="n">
        <x:v>4</x:v>
      </x:c>
      <x:c r="L34" s="141" t="n">
        <x:v>2</x:v>
      </x:c>
      <x:c r="M34" s="141" t="n">
        <x:v>1</x:v>
      </x:c>
      <x:c r="N34" s="141" t="n">
        <x:v>1</x:v>
      </x:c>
      <x:c r="O34" s="141" t="str">
        <x:v>Employee Referral</x:v>
      </x:c>
      <x:c r="P34" s="173" t="n">
        <x:v>41082</x:v>
      </x:c>
      <x:c r="Q34" s="141" t="n">
        <x:v>0</x:v>
      </x:c>
      <x:c r="R34" s="141" t="n">
        <x:v>4</x:v>
      </x:c>
      <x:c r="S34" s="141" t="n">
        <x:v>0.94</x:v>
      </x:c>
      <x:c r="T34" s="84" t="n">
        <x:f>IFERROR(M34/L34,0)</x:f>
        <x:v>0.5</x:v>
      </x:c>
    </x:row>
    <x:row r="35">
      <x:c r="A35" s="141" t="str">
        <x:v>REQ-031</x:v>
      </x:c>
      <x:c r="B35" s="141" t="str">
        <x:v>Q4</x:v>
      </x:c>
      <x:c r="C35" s="141" t="str">
        <x:v>Smartwatch Production</x:v>
      </x:c>
      <x:c r="D35" s="141" t="str">
        <x:v>Assembly Operator</x:v>
      </x:c>
      <x:c r="E35" s="141" t="str">
        <x:v>No</x:v>
      </x:c>
      <x:c r="F35" s="171" t="n">
        <x:v>46329</x:v>
      </x:c>
      <x:c r="G35" s="171" t="n">
        <x:v>46371</x:v>
      </x:c>
      <x:c r="H35" s="141" t="n">
        <x:v>2</x:v>
      </x:c>
      <x:c r="I35" s="141" t="n">
        <x:v>16</x:v>
      </x:c>
      <x:c r="J35" s="141" t="n">
        <x:v>10</x:v>
      </x:c>
      <x:c r="K35" s="141" t="n">
        <x:v>4</x:v>
      </x:c>
      <x:c r="L35" s="141" t="n">
        <x:v>2</x:v>
      </x:c>
      <x:c r="M35" s="141" t="n">
        <x:v>2</x:v>
      </x:c>
      <x:c r="N35" s="141" t="n">
        <x:v>2</x:v>
      </x:c>
      <x:c r="O35" s="141" t="str">
        <x:v>LinkedIn</x:v>
      </x:c>
      <x:c r="P35" s="173" t="n">
        <x:v>41602</x:v>
      </x:c>
      <x:c r="Q35" s="141" t="n">
        <x:v>42</x:v>
      </x:c>
      <x:c r="R35" s="141" t="n">
        <x:v>3.7</x:v>
      </x:c>
      <x:c r="S35" s="141" t="n">
        <x:v>0.89</x:v>
      </x:c>
      <x:c r="T35" s="84" t="n">
        <x:f>IFERROR(M35/L35,0)</x:f>
        <x:v>1</x:v>
      </x:c>
    </x:row>
    <x:row r="36">
      <x:c r="A36" s="141" t="str">
        <x:v>REQ-032</x:v>
      </x:c>
      <x:c r="B36" s="141" t="str">
        <x:v>Q4</x:v>
      </x:c>
      <x:c r="C36" s="141" t="str">
        <x:v>Quality Assurance</x:v>
      </x:c>
      <x:c r="D36" s="141" t="str">
        <x:v>QA Supervisor</x:v>
      </x:c>
      <x:c r="E36" s="141" t="str">
        <x:v>Yes</x:v>
      </x:c>
      <x:c r="F36" s="171" t="n">
        <x:v>46299</x:v>
      </x:c>
      <x:c r="G36" s="171" t="n">
        <x:v>46322</x:v>
      </x:c>
      <x:c r="H36" s="141" t="n">
        <x:v>2</x:v>
      </x:c>
      <x:c r="I36" s="141" t="n">
        <x:v>30</x:v>
      </x:c>
      <x:c r="J36" s="141" t="n">
        <x:v>16</x:v>
      </x:c>
      <x:c r="K36" s="141" t="n">
        <x:v>10</x:v>
      </x:c>
      <x:c r="L36" s="141" t="n">
        <x:v>7</x:v>
      </x:c>
      <x:c r="M36" s="141" t="n">
        <x:v>2</x:v>
      </x:c>
      <x:c r="N36" s="141" t="n">
        <x:v>2</x:v>
      </x:c>
      <x:c r="O36" s="141" t="str">
        <x:v>Employee Referral</x:v>
      </x:c>
      <x:c r="P36" s="173" t="n">
        <x:v>85516</x:v>
      </x:c>
      <x:c r="Q36" s="141" t="n">
        <x:v>23</x:v>
      </x:c>
      <x:c r="R36" s="141" t="n">
        <x:v>3.9</x:v>
      </x:c>
      <x:c r="S36" s="141" t="n">
        <x:v>0.93</x:v>
      </x:c>
      <x:c r="T36" s="84" t="n">
        <x:f>IFERROR(M36/L36,0)</x:f>
        <x:v>0.2857142857142857</x:v>
      </x:c>
    </x:row>
    <x:row r="37">
      <x:c r="A37" s="141" t="str">
        <x:v>REQ-033</x:v>
      </x:c>
      <x:c r="B37" s="141" t="str">
        <x:v>Q4</x:v>
      </x:c>
      <x:c r="C37" s="141" t="str">
        <x:v>Engineering and Maintenance</x:v>
      </x:c>
      <x:c r="D37" s="141" t="str">
        <x:v>Engineering Manager</x:v>
      </x:c>
      <x:c r="E37" s="141" t="str">
        <x:v>Yes</x:v>
      </x:c>
      <x:c r="F37" s="171" t="n">
        <x:v>46347</x:v>
      </x:c>
      <x:c r="G37" s="171" t="n">
        <x:v>46371</x:v>
      </x:c>
      <x:c r="H37" s="141" t="n">
        <x:v>2</x:v>
      </x:c>
      <x:c r="I37" s="141" t="n">
        <x:v>32</x:v>
      </x:c>
      <x:c r="J37" s="141" t="n">
        <x:v>19</x:v>
      </x:c>
      <x:c r="K37" s="141" t="n">
        <x:v>11</x:v>
      </x:c>
      <x:c r="L37" s="141" t="n">
        <x:v>8</x:v>
      </x:c>
      <x:c r="M37" s="141" t="n">
        <x:v>2</x:v>
      </x:c>
      <x:c r="N37" s="141" t="n">
        <x:v>2</x:v>
      </x:c>
      <x:c r="O37" s="141" t="str">
        <x:v>LinkedIn</x:v>
      </x:c>
      <x:c r="P37" s="173" t="n">
        <x:v>87288</x:v>
      </x:c>
      <x:c r="Q37" s="141" t="n">
        <x:v>24</x:v>
      </x:c>
      <x:c r="R37" s="141" t="n">
        <x:v>4.8</x:v>
      </x:c>
      <x:c r="S37" s="141" t="n">
        <x:v>0.97</x:v>
      </x:c>
      <x:c r="T37" s="84" t="n">
        <x:f>IFERROR(M37/L37,0)</x:f>
        <x:v>0.25</x:v>
      </x:c>
    </x:row>
    <x:row r="38">
      <x:c r="A38" s="141" t="str">
        <x:v>REQ-034</x:v>
      </x:c>
      <x:c r="B38" s="141" t="str">
        <x:v>Q4</x:v>
      </x:c>
      <x:c r="C38" s="141" t="str">
        <x:v>Research and Development</x:v>
      </x:c>
      <x:c r="D38" s="141" t="str">
        <x:v>R&amp;D Manager</x:v>
      </x:c>
      <x:c r="E38" s="141" t="str">
        <x:v>Yes</x:v>
      </x:c>
      <x:c r="F38" s="171" t="n">
        <x:v>46340</x:v>
      </x:c>
      <x:c r="G38" s="171" t="n">
        <x:v>46365</x:v>
      </x:c>
      <x:c r="H38" s="141" t="n">
        <x:v>2</x:v>
      </x:c>
      <x:c r="I38" s="141" t="n">
        <x:v>26</x:v>
      </x:c>
      <x:c r="J38" s="141" t="n">
        <x:v>16</x:v>
      </x:c>
      <x:c r="K38" s="141" t="n">
        <x:v>9</x:v>
      </x:c>
      <x:c r="L38" s="141" t="n">
        <x:v>5</x:v>
      </x:c>
      <x:c r="M38" s="141" t="n">
        <x:v>2</x:v>
      </x:c>
      <x:c r="N38" s="141" t="n">
        <x:v>2</x:v>
      </x:c>
      <x:c r="O38" s="141" t="str">
        <x:v>Bdjobs</x:v>
      </x:c>
      <x:c r="P38" s="173" t="n">
        <x:v>44308</x:v>
      </x:c>
      <x:c r="Q38" s="141" t="n">
        <x:v>25</x:v>
      </x:c>
      <x:c r="R38" s="141" t="n">
        <x:v>4.7</x:v>
      </x:c>
      <x:c r="S38" s="141" t="n">
        <x:v>0.98</x:v>
      </x:c>
      <x:c r="T38" s="84" t="n">
        <x:f>IFERROR(M38/L38,0)</x:f>
        <x:v>0.4</x:v>
      </x:c>
    </x:row>
    <x:row r="39">
      <x:c r="A39" s="141" t="str">
        <x:v>REQ-035</x:v>
      </x:c>
      <x:c r="B39" s="141" t="str">
        <x:v>Q4</x:v>
      </x:c>
      <x:c r="C39" s="141" t="str">
        <x:v>Sales Distribution and Service</x:v>
      </x:c>
      <x:c r="D39" s="141" t="str">
        <x:v>Territory Sales Officer</x:v>
      </x:c>
      <x:c r="E39" s="141" t="str">
        <x:v>No</x:v>
      </x:c>
      <x:c r="F39" s="171" t="n">
        <x:v>46366</x:v>
      </x:c>
      <x:c r="G39" s="171" t="n">
        <x:v>46371</x:v>
      </x:c>
      <x:c r="H39" s="141" t="n">
        <x:v>1</x:v>
      </x:c>
      <x:c r="I39" s="141" t="n">
        <x:v>9</x:v>
      </x:c>
      <x:c r="J39" s="141" t="n">
        <x:v>4</x:v>
      </x:c>
      <x:c r="K39" s="141" t="n">
        <x:v>1</x:v>
      </x:c>
      <x:c r="L39" s="141" t="n">
        <x:v>1</x:v>
      </x:c>
      <x:c r="M39" s="141" t="n">
        <x:v>1</x:v>
      </x:c>
      <x:c r="N39" s="141" t="n">
        <x:v>1</x:v>
      </x:c>
      <x:c r="O39" s="141" t="str">
        <x:v>University Career Centre</x:v>
      </x:c>
      <x:c r="P39" s="173" t="n">
        <x:v>33533</x:v>
      </x:c>
      <x:c r="Q39" s="141" t="n">
        <x:v>5</x:v>
      </x:c>
      <x:c r="R39" s="141" t="n">
        <x:v>4</x:v>
      </x:c>
      <x:c r="S39" s="141" t="n">
        <x:v>0.94</x:v>
      </x:c>
      <x:c r="T39" s="84" t="n">
        <x:f>IFERROR(M39/L39,0)</x:f>
        <x:v>1</x:v>
      </x:c>
    </x:row>
    <x:row r="40">
      <x:c r="A40" s="141" t="str">
        <x:v>REQ-036</x:v>
      </x:c>
      <x:c r="B40" s="141" t="str">
        <x:v>Q4</x:v>
      </x:c>
      <x:c r="C40" s="141" t="str">
        <x:v>Sales Distribution and Service</x:v>
      </x:c>
      <x:c r="D40" s="141" t="str">
        <x:v>Warranty Analyst</x:v>
      </x:c>
      <x:c r="E40" s="141" t="str">
        <x:v>No</x:v>
      </x:c>
      <x:c r="F40" s="171" t="n">
        <x:v>46348</x:v>
      </x:c>
      <x:c r="G40" s="171" t="n">
        <x:v>46371</x:v>
      </x:c>
      <x:c r="H40" s="141" t="n">
        <x:v>1</x:v>
      </x:c>
      <x:c r="I40" s="141" t="n">
        <x:v>14</x:v>
      </x:c>
      <x:c r="J40" s="141" t="n">
        <x:v>6</x:v>
      </x:c>
      <x:c r="K40" s="141" t="n">
        <x:v>3</x:v>
      </x:c>
      <x:c r="L40" s="141" t="n">
        <x:v>2</x:v>
      </x:c>
      <x:c r="M40" s="141" t="n">
        <x:v>1</x:v>
      </x:c>
      <x:c r="N40" s="141" t="n">
        <x:v>1</x:v>
      </x:c>
      <x:c r="O40" s="141" t="str">
        <x:v>Walk-in</x:v>
      </x:c>
      <x:c r="P40" s="173" t="n">
        <x:v>37357</x:v>
      </x:c>
      <x:c r="Q40" s="141" t="n">
        <x:v>23</x:v>
      </x:c>
      <x:c r="R40" s="141" t="n">
        <x:v>3.8</x:v>
      </x:c>
      <x:c r="S40" s="141" t="n">
        <x:v>0.92</x:v>
      </x:c>
      <x:c r="T40" s="84" t="n">
        <x:f>IFERROR(M40/L40,0)</x:f>
        <x:v>0.5</x:v>
      </x:c>
    </x:row>
    <x:row r="41">
      <x:c r="A41" s="141" t="str">
        <x:v>REQ-037</x:v>
      </x:c>
      <x:c r="B41" s="141" t="str">
        <x:v>Q4</x:v>
      </x:c>
      <x:c r="C41" s="141" t="str">
        <x:v>Human Resources and People</x:v>
      </x:c>
      <x:c r="D41" s="141" t="str">
        <x:v>People Analytics Analyst</x:v>
      </x:c>
      <x:c r="E41" s="141" t="str">
        <x:v>No</x:v>
      </x:c>
      <x:c r="F41" s="171" t="n">
        <x:v>46344</x:v>
      </x:c>
      <x:c r="G41" s="171" t="n">
        <x:v>46371</x:v>
      </x:c>
      <x:c r="H41" s="141" t="n">
        <x:v>1</x:v>
      </x:c>
      <x:c r="I41" s="141" t="n">
        <x:v>10</x:v>
      </x:c>
      <x:c r="J41" s="141" t="n">
        <x:v>5</x:v>
      </x:c>
      <x:c r="K41" s="141" t="n">
        <x:v>2</x:v>
      </x:c>
      <x:c r="L41" s="141" t="n">
        <x:v>1</x:v>
      </x:c>
      <x:c r="M41" s="141" t="n">
        <x:v>1</x:v>
      </x:c>
      <x:c r="N41" s="141" t="n">
        <x:v>1</x:v>
      </x:c>
      <x:c r="O41" s="141" t="str">
        <x:v>Walk-in</x:v>
      </x:c>
      <x:c r="P41" s="173" t="n">
        <x:v>13396</x:v>
      </x:c>
      <x:c r="Q41" s="141" t="n">
        <x:v>27</x:v>
      </x:c>
      <x:c r="R41" s="141" t="n">
        <x:v>4.3</x:v>
      </x:c>
      <x:c r="S41" s="141" t="n">
        <x:v>0.95</x:v>
      </x:c>
      <x:c r="T41" s="84" t="n">
        <x:f>IFERROR(M41/L41,0)</x:f>
        <x:v>1</x:v>
      </x:c>
    </x:row>
    <x:row r="42">
      <x:c r="A42" s="141" t="str">
        <x:v>REQ-038</x:v>
      </x:c>
      <x:c r="B42" s="141" t="str">
        <x:v>Q4</x:v>
      </x:c>
      <x:c r="C42" s="141" t="str">
        <x:v>IT Data and HRIS</x:v>
      </x:c>
      <x:c r="D42" s="141" t="str">
        <x:v>BI Developer</x:v>
      </x:c>
      <x:c r="E42" s="141" t="str">
        <x:v>Yes</x:v>
      </x:c>
      <x:c r="F42" s="171" t="n">
        <x:v>46352</x:v>
      </x:c>
      <x:c r="G42" s="171" t="n">
        <x:v>46371</x:v>
      </x:c>
      <x:c r="H42" s="141" t="n">
        <x:v>1</x:v>
      </x:c>
      <x:c r="I42" s="141" t="n">
        <x:v>14</x:v>
      </x:c>
      <x:c r="J42" s="141" t="n">
        <x:v>8</x:v>
      </x:c>
      <x:c r="K42" s="141" t="n">
        <x:v>5</x:v>
      </x:c>
      <x:c r="L42" s="141" t="n">
        <x:v>3</x:v>
      </x:c>
      <x:c r="M42" s="141" t="n">
        <x:v>1</x:v>
      </x:c>
      <x:c r="N42" s="141" t="n">
        <x:v>1</x:v>
      </x:c>
      <x:c r="O42" s="141" t="str">
        <x:v>Bdjobs</x:v>
      </x:c>
      <x:c r="P42" s="173" t="n">
        <x:v>43570</x:v>
      </x:c>
      <x:c r="Q42" s="141" t="n">
        <x:v>19</x:v>
      </x:c>
      <x:c r="R42" s="141" t="n">
        <x:v>4.7</x:v>
      </x:c>
      <x:c r="S42" s="141" t="n">
        <x:v>0.96</x:v>
      </x:c>
      <x:c r="T42" s="84" t="n">
        <x:f>IFERROR(M42/L42,0)</x:f>
        <x:v>0.3333333333333333</x:v>
      </x:c>
    </x:row>
  </x:sheetData>
  <x:mergeCells>
    <x:mergeCell ref="A1:S2"/>
    <x:mergeCell ref="A3:S3"/>
  </x:mergeCells>
  <x:conditionalFormatting sqref="Q6:Q42">
    <x:cfRule type="colorScale" priority="1">
      <x:colorScale>
        <x:cfvo type="min"/>
        <x:cfvo type="percentile" val="50"/>
        <x:cfvo type="max"/>
        <x:color rgb="FFFEE2E2"/>
        <x:color rgb="FFFEF3C7"/>
        <x:color rgb="FFDCFCE7"/>
      </x:colorScale>
    </x:cfRule>
  </x:conditionalFormatting>
  <x:conditionalFormatting sqref="R6:R42">
    <x:cfRule type="colorScale" priority="2">
      <x:colorScale>
        <x:cfvo type="min"/>
        <x:cfvo type="percentile" val="50"/>
        <x:cfvo type="max"/>
        <x:color rgb="FFFEE2E2"/>
        <x:color rgb="FFFEF3C7"/>
        <x:color rgb="FFDCFCE7"/>
      </x:colorScale>
    </x:cfRule>
  </x:conditionalFormatting>
  <x:conditionalFormatting sqref="S6:S42">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ceb81f03646d4a73"/>
  </x:tableParts>
</x:worksheet>
</file>

<file path=xl/worksheets/sheet10.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28" hidden="0" customWidth="1"/>
    <x:col min="5" max="5" width="32" hidden="0" customWidth="1"/>
    <x:col min="6" max="6" width="14" hidden="0" customWidth="1"/>
    <x:col min="7" max="7" width="13" hidden="0" customWidth="1"/>
    <x:col min="8" max="8" width="14" hidden="0" customWidth="1"/>
    <x:col min="9" max="9" width="14" hidden="0" customWidth="1"/>
    <x:col min="10" max="10" width="14" hidden="0" customWidth="1"/>
    <x:col min="11" max="11" width="14" hidden="0" customWidth="1"/>
    <x:col min="12" max="12" width="14" hidden="0" customWidth="1"/>
    <x:col min="13" max="13" width="22" hidden="0" customWidth="1"/>
  </x:cols>
  <x:sheetData>
    <x:row r="1">
      <x:c r="A1" s="88" t="str">
        <x:v>Learning and Critical-Skill Certification</x:v>
      </x:c>
      <x:c r="B1" s="88"/>
      <x:c r="C1" s="88"/>
      <x:c r="D1" s="88"/>
      <x:c r="E1" s="88"/>
      <x:c r="F1" s="88"/>
      <x:c r="G1" s="88"/>
      <x:c r="H1" s="88"/>
      <x:c r="I1" s="88"/>
      <x:c r="J1" s="88"/>
      <x:c r="K1" s="88"/>
      <x:c r="L1" s="88"/>
      <x:c r="M1" s="88"/>
    </x:row>
    <x:row r="2">
      <x:c r="A2" s="88"/>
      <x:c r="B2" s="88"/>
      <x:c r="C2" s="88"/>
      <x:c r="D2" s="88"/>
      <x:c r="E2" s="88"/>
      <x:c r="F2" s="88"/>
      <x:c r="G2" s="88"/>
      <x:c r="H2" s="88"/>
      <x:c r="I2" s="88"/>
      <x:c r="J2" s="88"/>
      <x:c r="K2" s="88"/>
      <x:c r="L2" s="88"/>
      <x:c r="M2" s="88"/>
    </x:row>
    <x:row r="3">
      <x:c r="A3" s="13" t="str">
        <x:v>Course-level records support training completion, assessment, certification, cost and provider analysis.</x:v>
      </x:c>
      <x:c r="B3" s="13"/>
      <x:c r="C3" s="13"/>
      <x:c r="D3" s="13"/>
      <x:c r="E3" s="13"/>
      <x:c r="F3" s="13"/>
      <x:c r="G3" s="13"/>
      <x:c r="H3" s="13"/>
      <x:c r="I3" s="13"/>
      <x:c r="J3" s="13"/>
      <x:c r="K3" s="13"/>
      <x:c r="L3" s="13"/>
      <x:c r="M3" s="13"/>
    </x:row>
    <x:row r="5" ht="30" customHeight="1">
      <x:c r="A5" s="135" t="str">
        <x:v>Training_Record_ID</x:v>
      </x:c>
      <x:c r="B5" s="135" t="str">
        <x:v>Employee_ID</x:v>
      </x:c>
      <x:c r="C5" s="135" t="str">
        <x:v>Quarter</x:v>
      </x:c>
      <x:c r="D5" s="135" t="str">
        <x:v>Department</x:v>
      </x:c>
      <x:c r="E5" s="135" t="str">
        <x:v>Course_Name</x:v>
      </x:c>
      <x:c r="F5" s="135" t="str">
        <x:v>Training_Category</x:v>
      </x:c>
      <x:c r="G5" s="135" t="str">
        <x:v>Training_Date</x:v>
      </x:c>
      <x:c r="H5" s="135" t="str">
        <x:v>Training_Hours</x:v>
      </x:c>
      <x:c r="I5" s="135" t="str">
        <x:v>Assessment_Score</x:v>
      </x:c>
      <x:c r="J5" s="135" t="str">
        <x:v>Completion_Status</x:v>
      </x:c>
      <x:c r="K5" s="135" t="str">
        <x:v>Certified</x:v>
      </x:c>
      <x:c r="L5" s="135" t="str">
        <x:v>Training_Cost_BDT</x:v>
      </x:c>
      <x:c r="M5" s="135" t="str">
        <x:v>Provider</x:v>
      </x:c>
    </x:row>
    <x:row r="6">
      <x:c r="A6" s="141" t="str">
        <x:v>TR-0001</x:v>
      </x:c>
      <x:c r="B6" s="141" t="str">
        <x:v>SG-21016092329</x:v>
      </x:c>
      <x:c r="C6" s="141" t="str">
        <x:v>Q4</x:v>
      </x:c>
      <x:c r="D6" s="141" t="str">
        <x:v>Smartwatch Production</x:v>
      </x:c>
      <x:c r="E6" s="141" t="str">
        <x:v>Precision Assembly Certification</x:v>
      </x:c>
      <x:c r="F6" s="141" t="str">
        <x:v>Technical</x:v>
      </x:c>
      <x:c r="G6" s="171" t="n">
        <x:v>46330</x:v>
      </x:c>
      <x:c r="H6" s="141" t="n">
        <x:v>16</x:v>
      </x:c>
      <x:c r="I6" s="141" t="n">
        <x:v>94</x:v>
      </x:c>
      <x:c r="J6" s="141" t="str">
        <x:v>Completed</x:v>
      </x:c>
      <x:c r="K6" s="141" t="str">
        <x:v>Yes</x:v>
      </x:c>
      <x:c r="L6" s="173" t="n">
        <x:v>4506</x:v>
      </x:c>
      <x:c r="M6" s="141" t="str">
        <x:v>Internal SME</x:v>
      </x:c>
    </x:row>
    <x:row r="7">
      <x:c r="A7" s="141" t="str">
        <x:v>TR-0003</x:v>
      </x:c>
      <x:c r="B7" s="141" t="str">
        <x:v>SG-24010072202</x:v>
      </x:c>
      <x:c r="C7" s="141" t="str">
        <x:v>Q2</x:v>
      </x:c>
      <x:c r="D7" s="141" t="str">
        <x:v>Research and Development</x:v>
      </x:c>
      <x:c r="E7" s="141" t="str">
        <x:v>Precision Assembly Certification</x:v>
      </x:c>
      <x:c r="F7" s="141" t="str">
        <x:v>Technical</x:v>
      </x:c>
      <x:c r="G7" s="171" t="n">
        <x:v>46168</x:v>
      </x:c>
      <x:c r="H7" s="141" t="n">
        <x:v>16</x:v>
      </x:c>
      <x:c r="I7" s="141" t="n">
        <x:v>71</x:v>
      </x:c>
      <x:c r="J7" s="141" t="str">
        <x:v>Completed</x:v>
      </x:c>
      <x:c r="K7" s="141" t="str">
        <x:v>No</x:v>
      </x:c>
      <x:c r="L7" s="173" t="n">
        <x:v>2510</x:v>
      </x:c>
      <x:c r="M7" s="141" t="str">
        <x:v>Sabia Academy</x:v>
      </x:c>
    </x:row>
    <x:row r="8">
      <x:c r="A8" s="141" t="str">
        <x:v>TR-0004</x:v>
      </x:c>
      <x:c r="B8" s="141" t="str">
        <x:v>SG-29031102607</x:v>
      </x:c>
      <x:c r="C8" s="141" t="str">
        <x:v>Q4</x:v>
      </x:c>
      <x:c r="D8" s="141" t="str">
        <x:v>Sales Distribution and Service</x:v>
      </x:c>
      <x:c r="E8" s="141" t="str">
        <x:v>HRIS Employee Self Service</x:v>
      </x:c>
      <x:c r="F8" s="141" t="str">
        <x:v>Digital</x:v>
      </x:c>
      <x:c r="G8" s="171" t="n">
        <x:v>46347</x:v>
      </x:c>
      <x:c r="H8" s="141" t="n">
        <x:v>4</x:v>
      </x:c>
      <x:c r="I8" s="141" t="n">
        <x:v>85</x:v>
      </x:c>
      <x:c r="J8" s="141" t="str">
        <x:v>Completed</x:v>
      </x:c>
      <x:c r="K8" s="141" t="str">
        <x:v>No</x:v>
      </x:c>
      <x:c r="L8" s="173" t="n">
        <x:v>1582</x:v>
      </x:c>
      <x:c r="M8" s="141" t="str">
        <x:v>External Consultant</x:v>
      </x:c>
    </x:row>
    <x:row r="9">
      <x:c r="A9" s="141" t="str">
        <x:v>TR-0005</x:v>
      </x:c>
      <x:c r="B9" s="141" t="str">
        <x:v>SG-29031102607</x:v>
      </x:c>
      <x:c r="C9" s="141" t="str">
        <x:v>Q4</x:v>
      </x:c>
      <x:c r="D9" s="141" t="str">
        <x:v>Sales Distribution and Service</x:v>
      </x:c>
      <x:c r="E9" s="141" t="str">
        <x:v>Embedded Systems Fundamentals</x:v>
      </x:c>
      <x:c r="F9" s="141" t="str">
        <x:v>Technical</x:v>
      </x:c>
      <x:c r="G9" s="171" t="n">
        <x:v>46371</x:v>
      </x:c>
      <x:c r="H9" s="141" t="n">
        <x:v>20</x:v>
      </x:c>
      <x:c r="I9" s="141" t="n">
        <x:v>68</x:v>
      </x:c>
      <x:c r="J9" s="141" t="str">
        <x:v>Completed</x:v>
      </x:c>
      <x:c r="K9" s="141" t="str">
        <x:v>No</x:v>
      </x:c>
      <x:c r="L9" s="173" t="n">
        <x:v>1245</x:v>
      </x:c>
      <x:c r="M9" s="141" t="str">
        <x:v>BUET Industry Partner</x:v>
      </x:c>
    </x:row>
    <x:row r="10">
      <x:c r="A10" s="141" t="str">
        <x:v>TR-0006</x:v>
      </x:c>
      <x:c r="B10" s="141" t="str">
        <x:v>SG-22026012504</x:v>
      </x:c>
      <x:c r="C10" s="141" t="str">
        <x:v>Q4</x:v>
      </x:c>
      <x:c r="D10" s="141" t="str">
        <x:v>Quality Assurance</x:v>
      </x:c>
      <x:c r="E10" s="141" t="str">
        <x:v>HRIS Employee Self Service</x:v>
      </x:c>
      <x:c r="F10" s="141" t="str">
        <x:v>Digital</x:v>
      </x:c>
      <x:c r="G10" s="171" t="n">
        <x:v>46355</x:v>
      </x:c>
      <x:c r="H10" s="141" t="n">
        <x:v>4</x:v>
      </x:c>
      <x:c r="I10" s="141" t="n">
        <x:v>80</x:v>
      </x:c>
      <x:c r="J10" s="141" t="str">
        <x:v>Completed</x:v>
      </x:c>
      <x:c r="K10" s="141" t="str">
        <x:v>No</x:v>
      </x:c>
      <x:c r="L10" s="173" t="n">
        <x:v>2075</x:v>
      </x:c>
      <x:c r="M10" s="141" t="str">
        <x:v>Sabia Academy</x:v>
      </x:c>
    </x:row>
    <x:row r="11">
      <x:c r="A11" s="141" t="str">
        <x:v>TR-0007</x:v>
      </x:c>
      <x:c r="B11" s="141" t="str">
        <x:v>SG-22023012003</x:v>
      </x:c>
      <x:c r="C11" s="141" t="str">
        <x:v>Q2</x:v>
      </x:c>
      <x:c r="D11" s="141" t="str">
        <x:v>Quality Assurance</x:v>
      </x:c>
      <x:c r="E11" s="141" t="str">
        <x:v>Lean Manufacturing Basics</x:v>
      </x:c>
      <x:c r="F11" s="141" t="str">
        <x:v>Operational Excellence</x:v>
      </x:c>
      <x:c r="G11" s="171" t="n">
        <x:v>46166</x:v>
      </x:c>
      <x:c r="H11" s="141" t="n">
        <x:v>12</x:v>
      </x:c>
      <x:c r="I11" s="141" t="n">
        <x:v>65</x:v>
      </x:c>
      <x:c r="J11" s="141" t="str">
        <x:v>Completed</x:v>
      </x:c>
      <x:c r="K11" s="141" t="str">
        <x:v>No</x:v>
      </x:c>
      <x:c r="L11" s="173" t="n">
        <x:v>4794</x:v>
      </x:c>
      <x:c r="M11" s="141" t="str">
        <x:v>External Consultant</x:v>
      </x:c>
    </x:row>
    <x:row r="12">
      <x:c r="A12" s="141" t="str">
        <x:v>TR-0008</x:v>
      </x:c>
      <x:c r="B12" s="141" t="str">
        <x:v>SG-29026052403</x:v>
      </x:c>
      <x:c r="C12" s="141" t="str">
        <x:v>Q2</x:v>
      </x:c>
      <x:c r="D12" s="141" t="str">
        <x:v>Sales Distribution and Service</x:v>
      </x:c>
      <x:c r="E12" s="141" t="str">
        <x:v>Quality at Source</x:v>
      </x:c>
      <x:c r="F12" s="141" t="str">
        <x:v>Quality</x:v>
      </x:c>
      <x:c r="G12" s="171" t="n">
        <x:v>46175</x:v>
      </x:c>
      <x:c r="H12" s="141" t="n">
        <x:v>8</x:v>
      </x:c>
      <x:c r="I12" s="141" t="n">
        <x:v>51</x:v>
      </x:c>
      <x:c r="J12" s="141" t="str">
        <x:v>Failed</x:v>
      </x:c>
      <x:c r="K12" s="141" t="str">
        <x:v>No</x:v>
      </x:c>
      <x:c r="L12" s="173" t="n">
        <x:v>4428</x:v>
      </x:c>
      <x:c r="M12" s="141" t="str">
        <x:v>Internal SME</x:v>
      </x:c>
    </x:row>
    <x:row r="13">
      <x:c r="A13" s="141" t="str">
        <x:v>TR-0009</x:v>
      </x:c>
      <x:c r="B13" s="141" t="str">
        <x:v>SG-21004082666</x:v>
      </x:c>
      <x:c r="C13" s="141" t="str">
        <x:v>Q4</x:v>
      </x:c>
      <x:c r="D13" s="141" t="str">
        <x:v>Smartwatch Production</x:v>
      </x:c>
      <x:c r="E13" s="141" t="str">
        <x:v>HRIS Employee Self Service</x:v>
      </x:c>
      <x:c r="F13" s="141" t="str">
        <x:v>Digital</x:v>
      </x:c>
      <x:c r="G13" s="171" t="n">
        <x:v>46312</x:v>
      </x:c>
      <x:c r="H13" s="141" t="n">
        <x:v>4</x:v>
      </x:c>
      <x:c r="I13" s="141" t="n">
        <x:v>84</x:v>
      </x:c>
      <x:c r="J13" s="141" t="str">
        <x:v>Completed</x:v>
      </x:c>
      <x:c r="K13" s="141" t="str">
        <x:v>No</x:v>
      </x:c>
      <x:c r="L13" s="173" t="n">
        <x:v>4101</x:v>
      </x:c>
      <x:c r="M13" s="141" t="str">
        <x:v>BUET Industry Partner</x:v>
      </x:c>
    </x:row>
    <x:row r="14">
      <x:c r="A14" s="141" t="str">
        <x:v>TR-0010</x:v>
      </x:c>
      <x:c r="B14" s="141" t="str">
        <x:v>SG-21004082666</x:v>
      </x:c>
      <x:c r="C14" s="141" t="str">
        <x:v>Q4</x:v>
      </x:c>
      <x:c r="D14" s="141" t="str">
        <x:v>Smartwatch Production</x:v>
      </x:c>
      <x:c r="E14" s="141" t="str">
        <x:v>ESD Safety and Handling</x:v>
      </x:c>
      <x:c r="F14" s="141" t="str">
        <x:v>Compliance</x:v>
      </x:c>
      <x:c r="G14" s="171" t="n">
        <x:v>46349</x:v>
      </x:c>
      <x:c r="H14" s="141" t="n">
        <x:v>8</x:v>
      </x:c>
      <x:c r="I14" s="141" t="n">
        <x:v>75</x:v>
      </x:c>
      <x:c r="J14" s="141" t="str">
        <x:v>Completed</x:v>
      </x:c>
      <x:c r="K14" s="141" t="str">
        <x:v>Yes</x:v>
      </x:c>
      <x:c r="L14" s="173" t="n">
        <x:v>2293</x:v>
      </x:c>
      <x:c r="M14" s="141" t="str">
        <x:v>Sabia Academy</x:v>
      </x:c>
    </x:row>
    <x:row r="15">
      <x:c r="A15" s="141" t="str">
        <x:v>TR-0011</x:v>
      </x:c>
      <x:c r="B15" s="141" t="str">
        <x:v>SG-23013052101</x:v>
      </x:c>
      <x:c r="C15" s="141" t="str">
        <x:v>Q3</x:v>
      </x:c>
      <x:c r="D15" s="141" t="str">
        <x:v>Engineering and Maintenance</x:v>
      </x:c>
      <x:c r="E15" s="141" t="str">
        <x:v>Supervisor Essentials</x:v>
      </x:c>
      <x:c r="F15" s="141" t="str">
        <x:v>Leadership</x:v>
      </x:c>
      <x:c r="G15" s="171" t="n">
        <x:v>46249</x:v>
      </x:c>
      <x:c r="H15" s="141" t="n">
        <x:v>12</x:v>
      </x:c>
      <x:c r="I15" s="141" t="n">
        <x:v>81</x:v>
      </x:c>
      <x:c r="J15" s="141" t="str">
        <x:v>Completed</x:v>
      </x:c>
      <x:c r="K15" s="141" t="str">
        <x:v>No</x:v>
      </x:c>
      <x:c r="L15" s="173" t="n">
        <x:v>3566</x:v>
      </x:c>
      <x:c r="M15" s="141" t="str">
        <x:v>External Consultant</x:v>
      </x:c>
    </x:row>
    <x:row r="16">
      <x:c r="A16" s="141" t="str">
        <x:v>TR-0012</x:v>
      </x:c>
      <x:c r="B16" s="141" t="str">
        <x:v>SG-23013052101</x:v>
      </x:c>
      <x:c r="C16" s="141" t="str">
        <x:v>Q2</x:v>
      </x:c>
      <x:c r="D16" s="141" t="str">
        <x:v>Engineering and Maintenance</x:v>
      </x:c>
      <x:c r="E16" s="141" t="str">
        <x:v>HRIS Employee Self Service</x:v>
      </x:c>
      <x:c r="F16" s="141" t="str">
        <x:v>Digital</x:v>
      </x:c>
      <x:c r="G16" s="171" t="n">
        <x:v>46181</x:v>
      </x:c>
      <x:c r="H16" s="141" t="n">
        <x:v>4</x:v>
      </x:c>
      <x:c r="I16" s="141" t="n">
        <x:v>72</x:v>
      </x:c>
      <x:c r="J16" s="141" t="str">
        <x:v>Completed</x:v>
      </x:c>
      <x:c r="K16" s="141" t="str">
        <x:v>No</x:v>
      </x:c>
      <x:c r="L16" s="173" t="n">
        <x:v>1933</x:v>
      </x:c>
      <x:c r="M16" s="141" t="str">
        <x:v>Sabia Academy</x:v>
      </x:c>
    </x:row>
    <x:row r="17">
      <x:c r="A17" s="141" t="str">
        <x:v>TR-0013</x:v>
      </x:c>
      <x:c r="B17" s="141" t="str">
        <x:v>SG-23020062609</x:v>
      </x:c>
      <x:c r="C17" s="141" t="str">
        <x:v>Q4</x:v>
      </x:c>
      <x:c r="D17" s="141" t="str">
        <x:v>Engineering and Maintenance</x:v>
      </x:c>
      <x:c r="E17" s="141" t="str">
        <x:v>Power BI for HR and Operations</x:v>
      </x:c>
      <x:c r="F17" s="141" t="str">
        <x:v>Analytics</x:v>
      </x:c>
      <x:c r="G17" s="171" t="n">
        <x:v>46344</x:v>
      </x:c>
      <x:c r="H17" s="141" t="n">
        <x:v>12</x:v>
      </x:c>
      <x:c r="I17" s="141" t="n">
        <x:v>100</x:v>
      </x:c>
      <x:c r="J17" s="141" t="str">
        <x:v>Completed</x:v>
      </x:c>
      <x:c r="K17" s="141" t="str">
        <x:v>No</x:v>
      </x:c>
      <x:c r="L17" s="173" t="n">
        <x:v>2063</x:v>
      </x:c>
      <x:c r="M17" s="141" t="str">
        <x:v>Internal SME</x:v>
      </x:c>
    </x:row>
    <x:row r="18">
      <x:c r="A18" s="141" t="str">
        <x:v>TR-0016</x:v>
      </x:c>
      <x:c r="B18" s="141" t="str">
        <x:v>SG-24030112504</x:v>
      </x:c>
      <x:c r="C18" s="141" t="str">
        <x:v>Q2</x:v>
      </x:c>
      <x:c r="D18" s="141" t="str">
        <x:v>Research and Development</x:v>
      </x:c>
      <x:c r="E18" s="141" t="str">
        <x:v>Quality at Source</x:v>
      </x:c>
      <x:c r="F18" s="141" t="str">
        <x:v>Quality</x:v>
      </x:c>
      <x:c r="G18" s="171" t="n">
        <x:v>46113</x:v>
      </x:c>
      <x:c r="H18" s="141" t="n">
        <x:v>8</x:v>
      </x:c>
      <x:c r="I18" s="141" t="n">
        <x:v>69</x:v>
      </x:c>
      <x:c r="J18" s="141" t="str">
        <x:v>Completed</x:v>
      </x:c>
      <x:c r="K18" s="141" t="str">
        <x:v>No</x:v>
      </x:c>
      <x:c r="L18" s="173" t="n">
        <x:v>4232</x:v>
      </x:c>
      <x:c r="M18" s="141" t="str">
        <x:v>External Consultant</x:v>
      </x:c>
    </x:row>
    <x:row r="19">
      <x:c r="A19" s="141" t="str">
        <x:v>TR-0017</x:v>
      </x:c>
      <x:c r="B19" s="141" t="str">
        <x:v>SG-22008062305</x:v>
      </x:c>
      <x:c r="C19" s="141" t="str">
        <x:v>Q4</x:v>
      </x:c>
      <x:c r="D19" s="141" t="str">
        <x:v>Quality Assurance</x:v>
      </x:c>
      <x:c r="E19" s="141" t="str">
        <x:v>Power BI for HR and Operations</x:v>
      </x:c>
      <x:c r="F19" s="141" t="str">
        <x:v>Analytics</x:v>
      </x:c>
      <x:c r="G19" s="171" t="n">
        <x:v>46334</x:v>
      </x:c>
      <x:c r="H19" s="141" t="n">
        <x:v>12</x:v>
      </x:c>
      <x:c r="I19" s="141" t="n">
        <x:v>93</x:v>
      </x:c>
      <x:c r="J19" s="141" t="str">
        <x:v>Completed</x:v>
      </x:c>
      <x:c r="K19" s="141" t="str">
        <x:v>No</x:v>
      </x:c>
      <x:c r="L19" s="173" t="n">
        <x:v>3451</x:v>
      </x:c>
      <x:c r="M19" s="141" t="str">
        <x:v>External Consultant</x:v>
      </x:c>
    </x:row>
    <x:row r="20">
      <x:c r="A20" s="141" t="str">
        <x:v>TR-0018</x:v>
      </x:c>
      <x:c r="B20" s="141" t="str">
        <x:v>SG-22008062305</x:v>
      </x:c>
      <x:c r="C20" s="141" t="str">
        <x:v>Q3</x:v>
      </x:c>
      <x:c r="D20" s="141" t="str">
        <x:v>Quality Assurance</x:v>
      </x:c>
      <x:c r="E20" s="141" t="str">
        <x:v>Embedded Systems Fundamentals</x:v>
      </x:c>
      <x:c r="F20" s="141" t="str">
        <x:v>Technical</x:v>
      </x:c>
      <x:c r="G20" s="171" t="n">
        <x:v>46274</x:v>
      </x:c>
      <x:c r="H20" s="141" t="n">
        <x:v>20</x:v>
      </x:c>
      <x:c r="I20" s="141" t="n">
        <x:v>100</x:v>
      </x:c>
      <x:c r="J20" s="141" t="str">
        <x:v>Completed</x:v>
      </x:c>
      <x:c r="K20" s="141" t="str">
        <x:v>Yes</x:v>
      </x:c>
      <x:c r="L20" s="173" t="n">
        <x:v>3207</x:v>
      </x:c>
      <x:c r="M20" s="141" t="str">
        <x:v>Sabia Academy</x:v>
      </x:c>
    </x:row>
    <x:row r="21">
      <x:c r="A21" s="141" t="str">
        <x:v>TR-0019</x:v>
      </x:c>
      <x:c r="B21" s="141" t="str">
        <x:v>SG-22008062305</x:v>
      </x:c>
      <x:c r="C21" s="141" t="str">
        <x:v>Q2</x:v>
      </x:c>
      <x:c r="D21" s="141" t="str">
        <x:v>Quality Assurance</x:v>
      </x:c>
      <x:c r="E21" s="141" t="str">
        <x:v>Bangladesh Labour Law Awareness</x:v>
      </x:c>
      <x:c r="F21" s="141" t="str">
        <x:v>Compliance</x:v>
      </x:c>
      <x:c r="G21" s="171" t="n">
        <x:v>46114</x:v>
      </x:c>
      <x:c r="H21" s="141" t="n">
        <x:v>6</x:v>
      </x:c>
      <x:c r="I21" s="141" t="n">
        <x:v>69</x:v>
      </x:c>
      <x:c r="J21" s="141" t="str">
        <x:v>Completed</x:v>
      </x:c>
      <x:c r="K21" s="141" t="str">
        <x:v>No</x:v>
      </x:c>
      <x:c r="L21" s="173" t="n">
        <x:v>1215</x:v>
      </x:c>
      <x:c r="M21" s="141" t="str">
        <x:v>Sabia Academy</x:v>
      </x:c>
    </x:row>
    <x:row r="22">
      <x:c r="A22" s="141" t="str">
        <x:v>TR-0020</x:v>
      </x:c>
      <x:c r="B22" s="141" t="str">
        <x:v>SG-21022042437</x:v>
      </x:c>
      <x:c r="C22" s="141" t="str">
        <x:v>Q4</x:v>
      </x:c>
      <x:c r="D22" s="141" t="str">
        <x:v>Smartwatch Production</x:v>
      </x:c>
      <x:c r="E22" s="141" t="str">
        <x:v>Quality at Source</x:v>
      </x:c>
      <x:c r="F22" s="141" t="str">
        <x:v>Quality</x:v>
      </x:c>
      <x:c r="G22" s="171" t="n">
        <x:v>46359</x:v>
      </x:c>
      <x:c r="H22" s="141" t="n">
        <x:v>8</x:v>
      </x:c>
      <x:c r="I22" s="141" t="n">
        <x:v>77</x:v>
      </x:c>
      <x:c r="J22" s="141" t="str">
        <x:v>Completed</x:v>
      </x:c>
      <x:c r="K22" s="141" t="str">
        <x:v>Yes</x:v>
      </x:c>
      <x:c r="L22" s="173" t="n">
        <x:v>4619</x:v>
      </x:c>
      <x:c r="M22" s="141" t="str">
        <x:v>BUET Industry Partner</x:v>
      </x:c>
    </x:row>
    <x:row r="23">
      <x:c r="A23" s="141" t="str">
        <x:v>TR-0021</x:v>
      </x:c>
      <x:c r="B23" s="141" t="str">
        <x:v>SG-12724092608</x:v>
      </x:c>
      <x:c r="C23" s="141" t="str">
        <x:v>Q4</x:v>
      </x:c>
      <x:c r="D23" s="141" t="str">
        <x:v>Human Resources and People</x:v>
      </x:c>
      <x:c r="E23" s="141" t="str">
        <x:v>Embedded Systems Fundamentals</x:v>
      </x:c>
      <x:c r="F23" s="141" t="str">
        <x:v>Technical</x:v>
      </x:c>
      <x:c r="G23" s="171" t="n">
        <x:v>46361</x:v>
      </x:c>
      <x:c r="H23" s="141" t="n">
        <x:v>20</x:v>
      </x:c>
      <x:c r="I23" s="141" t="n">
        <x:v>77</x:v>
      </x:c>
      <x:c r="J23" s="141" t="str">
        <x:v>Completed</x:v>
      </x:c>
      <x:c r="K23" s="141" t="str">
        <x:v>Yes</x:v>
      </x:c>
      <x:c r="L23" s="173" t="n">
        <x:v>2290</x:v>
      </x:c>
      <x:c r="M23" s="141" t="str">
        <x:v>External Consultant</x:v>
      </x:c>
    </x:row>
    <x:row r="24">
      <x:c r="A24" s="141" t="str">
        <x:v>TR-0022</x:v>
      </x:c>
      <x:c r="B24" s="141" t="str">
        <x:v>SG-12724092608</x:v>
      </x:c>
      <x:c r="C24" s="141" t="str">
        <x:v>Q4</x:v>
      </x:c>
      <x:c r="D24" s="141" t="str">
        <x:v>Human Resources and People</x:v>
      </x:c>
      <x:c r="E24" s="141" t="str">
        <x:v>Supervisor Essentials</x:v>
      </x:c>
      <x:c r="F24" s="141" t="str">
        <x:v>Leadership</x:v>
      </x:c>
      <x:c r="G24" s="171" t="n">
        <x:v>46345</x:v>
      </x:c>
      <x:c r="H24" s="141" t="n">
        <x:v>12</x:v>
      </x:c>
      <x:c r="I24" s="141" t="n">
        <x:v>82</x:v>
      </x:c>
      <x:c r="J24" s="141" t="str">
        <x:v>Completed</x:v>
      </x:c>
      <x:c r="K24" s="141" t="str">
        <x:v>No</x:v>
      </x:c>
      <x:c r="L24" s="173" t="n">
        <x:v>2147</x:v>
      </x:c>
      <x:c r="M24" s="141" t="str">
        <x:v>Sabia Academy</x:v>
      </x:c>
    </x:row>
    <x:row r="25">
      <x:c r="A25" s="141" t="str">
        <x:v>TR-0023</x:v>
      </x:c>
      <x:c r="B25" s="141" t="str">
        <x:v>SG-12724092608</x:v>
      </x:c>
      <x:c r="C25" s="141" t="str">
        <x:v>Q4</x:v>
      </x:c>
      <x:c r="D25" s="141" t="str">
        <x:v>Human Resources and People</x:v>
      </x:c>
      <x:c r="E25" s="141" t="str">
        <x:v>ESD Safety and Handling</x:v>
      </x:c>
      <x:c r="F25" s="141" t="str">
        <x:v>Compliance</x:v>
      </x:c>
      <x:c r="G25" s="171" t="n">
        <x:v>46298</x:v>
      </x:c>
      <x:c r="H25" s="141" t="n">
        <x:v>8</x:v>
      </x:c>
      <x:c r="I25" s="141" t="n">
        <x:v>86</x:v>
      </x:c>
      <x:c r="J25" s="141" t="str">
        <x:v>Completed</x:v>
      </x:c>
      <x:c r="K25" s="141" t="str">
        <x:v>Yes</x:v>
      </x:c>
      <x:c r="L25" s="173" t="n">
        <x:v>3444</x:v>
      </x:c>
      <x:c r="M25" s="141" t="str">
        <x:v>BUET Industry Partner</x:v>
      </x:c>
    </x:row>
    <x:row r="26">
      <x:c r="A26" s="141" t="str">
        <x:v>TR-0024</x:v>
      </x:c>
      <x:c r="B26" s="141" t="str">
        <x:v>SG-21021102669</x:v>
      </x:c>
      <x:c r="C26" s="141" t="str">
        <x:v>Q4</x:v>
      </x:c>
      <x:c r="D26" s="141" t="str">
        <x:v>Smartwatch Production</x:v>
      </x:c>
      <x:c r="E26" s="141" t="str">
        <x:v>Embedded Systems Fundamentals</x:v>
      </x:c>
      <x:c r="F26" s="141" t="str">
        <x:v>Technical</x:v>
      </x:c>
      <x:c r="G26" s="171" t="n">
        <x:v>46332</x:v>
      </x:c>
      <x:c r="H26" s="141" t="n">
        <x:v>20</x:v>
      </x:c>
      <x:c r="I26" s="141" t="n">
        <x:v>81</x:v>
      </x:c>
      <x:c r="J26" s="141" t="str">
        <x:v>Completed</x:v>
      </x:c>
      <x:c r="K26" s="141" t="str">
        <x:v>Yes</x:v>
      </x:c>
      <x:c r="L26" s="173" t="n">
        <x:v>2924</x:v>
      </x:c>
      <x:c r="M26" s="141" t="str">
        <x:v>Internal SME</x:v>
      </x:c>
    </x:row>
    <x:row r="27">
      <x:c r="A27" s="141" t="str">
        <x:v>TR-0025</x:v>
      </x:c>
      <x:c r="B27" s="141" t="str">
        <x:v>SG-23015102408</x:v>
      </x:c>
      <x:c r="C27" s="141" t="str">
        <x:v>Q4</x:v>
      </x:c>
      <x:c r="D27" s="141" t="str">
        <x:v>Engineering and Maintenance</x:v>
      </x:c>
      <x:c r="E27" s="141" t="str">
        <x:v>Lean Manufacturing Basics</x:v>
      </x:c>
      <x:c r="F27" s="141" t="str">
        <x:v>Operational Excellence</x:v>
      </x:c>
      <x:c r="G27" s="171" t="n">
        <x:v>46366</x:v>
      </x:c>
      <x:c r="H27" s="141" t="n">
        <x:v>12</x:v>
      </x:c>
      <x:c r="I27" s="141" t="n">
        <x:v>83</x:v>
      </x:c>
      <x:c r="J27" s="141" t="str">
        <x:v>Completed</x:v>
      </x:c>
      <x:c r="K27" s="141" t="str">
        <x:v>No</x:v>
      </x:c>
      <x:c r="L27" s="173" t="n">
        <x:v>3308</x:v>
      </x:c>
      <x:c r="M27" s="141" t="str">
        <x:v>Sabia Academy</x:v>
      </x:c>
    </x:row>
    <x:row r="28">
      <x:c r="A28" s="141" t="str">
        <x:v>TR-0026</x:v>
      </x:c>
      <x:c r="B28" s="141" t="str">
        <x:v>SG-23015102408</x:v>
      </x:c>
      <x:c r="C28" s="141" t="str">
        <x:v>Q4</x:v>
      </x:c>
      <x:c r="D28" s="141" t="str">
        <x:v>Engineering and Maintenance</x:v>
      </x:c>
      <x:c r="E28" s="141" t="str">
        <x:v>Quality at Source</x:v>
      </x:c>
      <x:c r="F28" s="141" t="str">
        <x:v>Quality</x:v>
      </x:c>
      <x:c r="G28" s="171" t="n">
        <x:v>46321</x:v>
      </x:c>
      <x:c r="H28" s="141" t="n">
        <x:v>8</x:v>
      </x:c>
      <x:c r="I28" s="141" t="n">
        <x:v>96</x:v>
      </x:c>
      <x:c r="J28" s="141" t="str">
        <x:v>Completed</x:v>
      </x:c>
      <x:c r="K28" s="141" t="str">
        <x:v>Yes</x:v>
      </x:c>
      <x:c r="L28" s="173" t="n">
        <x:v>3049</x:v>
      </x:c>
      <x:c r="M28" s="141" t="str">
        <x:v>Sabia Academy</x:v>
      </x:c>
    </x:row>
    <x:row r="29">
      <x:c r="A29" s="141" t="str">
        <x:v>TR-0027</x:v>
      </x:c>
      <x:c r="B29" s="141" t="str">
        <x:v>SG-12718112609</x:v>
      </x:c>
      <x:c r="C29" s="141" t="str">
        <x:v>Q4</x:v>
      </x:c>
      <x:c r="D29" s="141" t="str">
        <x:v>Human Resources and People</x:v>
      </x:c>
      <x:c r="E29" s="141" t="str">
        <x:v>Precision Assembly Certification</x:v>
      </x:c>
      <x:c r="F29" s="141" t="str">
        <x:v>Technical</x:v>
      </x:c>
      <x:c r="G29" s="171" t="n">
        <x:v>46376</x:v>
      </x:c>
      <x:c r="H29" s="141" t="n">
        <x:v>16</x:v>
      </x:c>
      <x:c r="I29" s="141" t="n">
        <x:v>89</x:v>
      </x:c>
      <x:c r="J29" s="141" t="str">
        <x:v>Completed</x:v>
      </x:c>
      <x:c r="K29" s="141" t="str">
        <x:v>Yes</x:v>
      </x:c>
      <x:c r="L29" s="173" t="n">
        <x:v>2874</x:v>
      </x:c>
      <x:c r="M29" s="141" t="str">
        <x:v>BUET Industry Partner</x:v>
      </x:c>
    </x:row>
    <x:row r="30">
      <x:c r="A30" s="141" t="str">
        <x:v>TR-0028</x:v>
      </x:c>
      <x:c r="B30" s="141" t="str">
        <x:v>SG-12718112609</x:v>
      </x:c>
      <x:c r="C30" s="141" t="str">
        <x:v>Q4</x:v>
      </x:c>
      <x:c r="D30" s="141" t="str">
        <x:v>Human Resources and People</x:v>
      </x:c>
      <x:c r="E30" s="141" t="str">
        <x:v>Bangladesh Labour Law Awareness</x:v>
      </x:c>
      <x:c r="F30" s="141" t="str">
        <x:v>Compliance</x:v>
      </x:c>
      <x:c r="G30" s="171" t="n">
        <x:v>46358</x:v>
      </x:c>
      <x:c r="H30" s="141" t="n">
        <x:v>6</x:v>
      </x:c>
      <x:c r="I30" s="141" t="n">
        <x:v>90</x:v>
      </x:c>
      <x:c r="J30" s="141" t="str">
        <x:v>Completed</x:v>
      </x:c>
      <x:c r="K30" s="141" t="str">
        <x:v>Yes</x:v>
      </x:c>
      <x:c r="L30" s="173" t="n">
        <x:v>1408</x:v>
      </x:c>
      <x:c r="M30" s="141" t="str">
        <x:v>Sabia Academy</x:v>
      </x:c>
    </x:row>
    <x:row r="31">
      <x:c r="A31" s="141" t="str">
        <x:v>TR-0029</x:v>
      </x:c>
      <x:c r="B31" s="141" t="str">
        <x:v>SG-22014022110</x:v>
      </x:c>
      <x:c r="C31" s="141" t="str">
        <x:v>Q4</x:v>
      </x:c>
      <x:c r="D31" s="141" t="str">
        <x:v>Quality Assurance</x:v>
      </x:c>
      <x:c r="E31" s="141" t="str">
        <x:v>Power BI for HR and Operations</x:v>
      </x:c>
      <x:c r="F31" s="141" t="str">
        <x:v>Analytics</x:v>
      </x:c>
      <x:c r="G31" s="171" t="n">
        <x:v>46341</x:v>
      </x:c>
      <x:c r="H31" s="141" t="n">
        <x:v>12</x:v>
      </x:c>
      <x:c r="I31" s="141" t="n">
        <x:v>79</x:v>
      </x:c>
      <x:c r="J31" s="141" t="str">
        <x:v>Completed</x:v>
      </x:c>
      <x:c r="K31" s="141" t="str">
        <x:v>No</x:v>
      </x:c>
      <x:c r="L31" s="173" t="n">
        <x:v>1686</x:v>
      </x:c>
      <x:c r="M31" s="141" t="str">
        <x:v>Internal SME</x:v>
      </x:c>
    </x:row>
    <x:row r="32">
      <x:c r="A32" s="141" t="str">
        <x:v>TR-0030</x:v>
      </x:c>
      <x:c r="B32" s="141" t="str">
        <x:v>SG-21011052646</x:v>
      </x:c>
      <x:c r="C32" s="141" t="str">
        <x:v>Q3</x:v>
      </x:c>
      <x:c r="D32" s="141" t="str">
        <x:v>Smartwatch Production</x:v>
      </x:c>
      <x:c r="E32" s="141" t="str">
        <x:v>Lean Manufacturing Basics</x:v>
      </x:c>
      <x:c r="F32" s="141" t="str">
        <x:v>Operational Excellence</x:v>
      </x:c>
      <x:c r="G32" s="171" t="n">
        <x:v>46290</x:v>
      </x:c>
      <x:c r="H32" s="141" t="n">
        <x:v>12</x:v>
      </x:c>
      <x:c r="I32" s="141" t="n">
        <x:v>72</x:v>
      </x:c>
      <x:c r="J32" s="141" t="str">
        <x:v>Completed</x:v>
      </x:c>
      <x:c r="K32" s="141" t="str">
        <x:v>No</x:v>
      </x:c>
      <x:c r="L32" s="173" t="n">
        <x:v>3093</x:v>
      </x:c>
      <x:c r="M32" s="141" t="str">
        <x:v>Internal SME</x:v>
      </x:c>
    </x:row>
    <x:row r="33">
      <x:c r="A33" s="141" t="str">
        <x:v>TR-0031</x:v>
      </x:c>
      <x:c r="B33" s="141" t="str">
        <x:v>SG-21009042120</x:v>
      </x:c>
      <x:c r="C33" s="141" t="str">
        <x:v>Q2</x:v>
      </x:c>
      <x:c r="D33" s="141" t="str">
        <x:v>Smartwatch Production</x:v>
      </x:c>
      <x:c r="E33" s="141" t="str">
        <x:v>HRIS Employee Self Service</x:v>
      </x:c>
      <x:c r="F33" s="141" t="str">
        <x:v>Digital</x:v>
      </x:c>
      <x:c r="G33" s="171" t="n">
        <x:v>46126</x:v>
      </x:c>
      <x:c r="H33" s="141" t="n">
        <x:v>4</x:v>
      </x:c>
      <x:c r="I33" s="141" t="n">
        <x:v>85</x:v>
      </x:c>
      <x:c r="J33" s="141" t="str">
        <x:v>Completed</x:v>
      </x:c>
      <x:c r="K33" s="141" t="str">
        <x:v>No</x:v>
      </x:c>
      <x:c r="L33" s="173" t="n">
        <x:v>1764</x:v>
      </x:c>
      <x:c r="M33" s="141" t="str">
        <x:v>Internal SME</x:v>
      </x:c>
    </x:row>
    <x:row r="34">
      <x:c r="A34" s="141" t="str">
        <x:v>TR-0032</x:v>
      </x:c>
      <x:c r="B34" s="141" t="str">
        <x:v>SG-28012122402</x:v>
      </x:c>
      <x:c r="C34" s="141" t="str">
        <x:v>Q2</x:v>
      </x:c>
      <x:c r="D34" s="141" t="str">
        <x:v>IT Data and HRIS</x:v>
      </x:c>
      <x:c r="E34" s="141" t="str">
        <x:v>Precision Assembly Certification</x:v>
      </x:c>
      <x:c r="F34" s="141" t="str">
        <x:v>Technical</x:v>
      </x:c>
      <x:c r="G34" s="171" t="n">
        <x:v>46124</x:v>
      </x:c>
      <x:c r="H34" s="141" t="n">
        <x:v>16</x:v>
      </x:c>
      <x:c r="I34" s="141" t="n">
        <x:v>91</x:v>
      </x:c>
      <x:c r="J34" s="141" t="str">
        <x:v>Completed</x:v>
      </x:c>
      <x:c r="K34" s="141" t="str">
        <x:v>Yes</x:v>
      </x:c>
      <x:c r="L34" s="173" t="n">
        <x:v>4384</x:v>
      </x:c>
      <x:c r="M34" s="141" t="str">
        <x:v>Internal SME</x:v>
      </x:c>
    </x:row>
    <x:row r="35">
      <x:c r="A35" s="141" t="str">
        <x:v>TR-0033</x:v>
      </x:c>
      <x:c r="B35" s="141" t="str">
        <x:v>SG-21025102671</x:v>
      </x:c>
      <x:c r="C35" s="141" t="str">
        <x:v>Q4</x:v>
      </x:c>
      <x:c r="D35" s="141" t="str">
        <x:v>Smartwatch Production</x:v>
      </x:c>
      <x:c r="E35" s="141" t="str">
        <x:v>Problem Solving and Root Cause Analysis</x:v>
      </x:c>
      <x:c r="F35" s="141" t="str">
        <x:v>Quality</x:v>
      </x:c>
      <x:c r="G35" s="171" t="n">
        <x:v>46334</x:v>
      </x:c>
      <x:c r="H35" s="141" t="n">
        <x:v>10</x:v>
      </x:c>
      <x:c r="I35" s="141" t="n">
        <x:v>63</x:v>
      </x:c>
      <x:c r="J35" s="141" t="str">
        <x:v>Completed</x:v>
      </x:c>
      <x:c r="K35" s="141" t="str">
        <x:v>No</x:v>
      </x:c>
      <x:c r="L35" s="173" t="n">
        <x:v>2464</x:v>
      </x:c>
      <x:c r="M35" s="141" t="str">
        <x:v>Sabia Academy</x:v>
      </x:c>
    </x:row>
    <x:row r="36">
      <x:c r="A36" s="141" t="str">
        <x:v>TR-0034</x:v>
      </x:c>
      <x:c r="B36" s="141" t="str">
        <x:v>SG-21006082665</x:v>
      </x:c>
      <x:c r="C36" s="141" t="str">
        <x:v>Q4</x:v>
      </x:c>
      <x:c r="D36" s="141" t="str">
        <x:v>Smartwatch Production</x:v>
      </x:c>
      <x:c r="E36" s="141" t="str">
        <x:v>Bangladesh Labour Law Awareness</x:v>
      </x:c>
      <x:c r="F36" s="141" t="str">
        <x:v>Compliance</x:v>
      </x:c>
      <x:c r="G36" s="171" t="n">
        <x:v>46322</x:v>
      </x:c>
      <x:c r="H36" s="141" t="n">
        <x:v>6</x:v>
      </x:c>
      <x:c r="I36" s="141" t="n">
        <x:v>78</x:v>
      </x:c>
      <x:c r="J36" s="141" t="str">
        <x:v>Completed</x:v>
      </x:c>
      <x:c r="K36" s="141" t="str">
        <x:v>Yes</x:v>
      </x:c>
      <x:c r="L36" s="173" t="n">
        <x:v>3302</x:v>
      </x:c>
      <x:c r="M36" s="141" t="str">
        <x:v>Internal SME</x:v>
      </x:c>
    </x:row>
    <x:row r="37">
      <x:c r="A37" s="141" t="str">
        <x:v>TR-0035</x:v>
      </x:c>
      <x:c r="B37" s="141" t="str">
        <x:v>SG-21006082665</x:v>
      </x:c>
      <x:c r="C37" s="141" t="str">
        <x:v>Q3</x:v>
      </x:c>
      <x:c r="D37" s="141" t="str">
        <x:v>Smartwatch Production</x:v>
      </x:c>
      <x:c r="E37" s="141" t="str">
        <x:v>Precision Assembly Certification</x:v>
      </x:c>
      <x:c r="F37" s="141" t="str">
        <x:v>Technical</x:v>
      </x:c>
      <x:c r="G37" s="171" t="n">
        <x:v>46283</x:v>
      </x:c>
      <x:c r="H37" s="141" t="n">
        <x:v>16</x:v>
      </x:c>
      <x:c r="I37" s="141" t="n">
        <x:v>76</x:v>
      </x:c>
      <x:c r="J37" s="141" t="str">
        <x:v>Completed</x:v>
      </x:c>
      <x:c r="K37" s="141" t="str">
        <x:v>Yes</x:v>
      </x:c>
      <x:c r="L37" s="173" t="n">
        <x:v>1236</x:v>
      </x:c>
      <x:c r="M37" s="141" t="str">
        <x:v>Internal SME</x:v>
      </x:c>
    </x:row>
    <x:row r="38">
      <x:c r="A38" s="141" t="str">
        <x:v>TR-0036</x:v>
      </x:c>
      <x:c r="B38" s="141" t="str">
        <x:v>SG-21006082665</x:v>
      </x:c>
      <x:c r="C38" s="141" t="str">
        <x:v>Q4</x:v>
      </x:c>
      <x:c r="D38" s="141" t="str">
        <x:v>Smartwatch Production</x:v>
      </x:c>
      <x:c r="E38" s="141" t="str">
        <x:v>Lean Manufacturing Basics</x:v>
      </x:c>
      <x:c r="F38" s="141" t="str">
        <x:v>Operational Excellence</x:v>
      </x:c>
      <x:c r="G38" s="171" t="n">
        <x:v>46341</x:v>
      </x:c>
      <x:c r="H38" s="141" t="n">
        <x:v>12</x:v>
      </x:c>
      <x:c r="I38" s="141" t="n">
        <x:v>74</x:v>
      </x:c>
      <x:c r="J38" s="141" t="str">
        <x:v>Completed</x:v>
      </x:c>
      <x:c r="K38" s="141" t="str">
        <x:v>No</x:v>
      </x:c>
      <x:c r="L38" s="173" t="n">
        <x:v>4133</x:v>
      </x:c>
      <x:c r="M38" s="141" t="str">
        <x:v>Sabia Academy</x:v>
      </x:c>
    </x:row>
    <x:row r="39">
      <x:c r="A39" s="141" t="str">
        <x:v>TR-0037</x:v>
      </x:c>
      <x:c r="B39" s="141" t="str">
        <x:v>SG-23025082102</x:v>
      </x:c>
      <x:c r="C39" s="141" t="str">
        <x:v>Q3</x:v>
      </x:c>
      <x:c r="D39" s="141" t="str">
        <x:v>Engineering and Maintenance</x:v>
      </x:c>
      <x:c r="E39" s="141" t="str">
        <x:v>HRIS Employee Self Service</x:v>
      </x:c>
      <x:c r="F39" s="141" t="str">
        <x:v>Digital</x:v>
      </x:c>
      <x:c r="G39" s="171" t="n">
        <x:v>46274</x:v>
      </x:c>
      <x:c r="H39" s="141" t="n">
        <x:v>4</x:v>
      </x:c>
      <x:c r="I39" s="141" t="n">
        <x:v>88</x:v>
      </x:c>
      <x:c r="J39" s="141" t="str">
        <x:v>Completed</x:v>
      </x:c>
      <x:c r="K39" s="141" t="str">
        <x:v>No</x:v>
      </x:c>
      <x:c r="L39" s="173" t="n">
        <x:v>2132</x:v>
      </x:c>
      <x:c r="M39" s="141" t="str">
        <x:v>External Consultant</x:v>
      </x:c>
    </x:row>
    <x:row r="40">
      <x:c r="A40" s="141" t="str">
        <x:v>TR-0038</x:v>
      </x:c>
      <x:c r="B40" s="141" t="str">
        <x:v>SG-23025082102</x:v>
      </x:c>
      <x:c r="C40" s="141" t="str">
        <x:v>Q2</x:v>
      </x:c>
      <x:c r="D40" s="141" t="str">
        <x:v>Engineering and Maintenance</x:v>
      </x:c>
      <x:c r="E40" s="141" t="str">
        <x:v>Bangladesh Labour Law Awareness</x:v>
      </x:c>
      <x:c r="F40" s="141" t="str">
        <x:v>Compliance</x:v>
      </x:c>
      <x:c r="G40" s="171" t="n">
        <x:v>46159</x:v>
      </x:c>
      <x:c r="H40" s="141" t="n">
        <x:v>6</x:v>
      </x:c>
      <x:c r="I40" s="141" t="n">
        <x:v>90</x:v>
      </x:c>
      <x:c r="J40" s="141" t="str">
        <x:v>Completed</x:v>
      </x:c>
      <x:c r="K40" s="141" t="str">
        <x:v>Yes</x:v>
      </x:c>
      <x:c r="L40" s="173" t="n">
        <x:v>1781</x:v>
      </x:c>
      <x:c r="M40" s="141" t="str">
        <x:v>Sabia Academy</x:v>
      </x:c>
    </x:row>
    <x:row r="41">
      <x:c r="A41" s="141" t="str">
        <x:v>TR-0039</x:v>
      </x:c>
      <x:c r="B41" s="141" t="str">
        <x:v>SG-21001092655</x:v>
      </x:c>
      <x:c r="C41" s="141" t="str">
        <x:v>Q4</x:v>
      </x:c>
      <x:c r="D41" s="141" t="str">
        <x:v>Smartwatch Production</x:v>
      </x:c>
      <x:c r="E41" s="141" t="str">
        <x:v>Embedded Systems Fundamentals</x:v>
      </x:c>
      <x:c r="F41" s="141" t="str">
        <x:v>Technical</x:v>
      </x:c>
      <x:c r="G41" s="171" t="n">
        <x:v>46310</x:v>
      </x:c>
      <x:c r="H41" s="141" t="n">
        <x:v>20</x:v>
      </x:c>
      <x:c r="I41" s="141" t="n">
        <x:v>62</x:v>
      </x:c>
      <x:c r="J41" s="141" t="str">
        <x:v>Completed</x:v>
      </x:c>
      <x:c r="K41" s="141" t="str">
        <x:v>No</x:v>
      </x:c>
      <x:c r="L41" s="173" t="n">
        <x:v>1408</x:v>
      </x:c>
      <x:c r="M41" s="141" t="str">
        <x:v>BUET Industry Partner</x:v>
      </x:c>
    </x:row>
    <x:row r="42">
      <x:c r="A42" s="141" t="str">
        <x:v>TR-0040</x:v>
      </x:c>
      <x:c r="B42" s="141" t="str">
        <x:v>SG-24020022006</x:v>
      </x:c>
      <x:c r="C42" s="141" t="str">
        <x:v>Q4</x:v>
      </x:c>
      <x:c r="D42" s="141" t="str">
        <x:v>Research and Development</x:v>
      </x:c>
      <x:c r="E42" s="141" t="str">
        <x:v>HRIS Employee Self Service</x:v>
      </x:c>
      <x:c r="F42" s="141" t="str">
        <x:v>Digital</x:v>
      </x:c>
      <x:c r="G42" s="171" t="n">
        <x:v>46344</x:v>
      </x:c>
      <x:c r="H42" s="141" t="n">
        <x:v>4</x:v>
      </x:c>
      <x:c r="I42" s="141" t="n">
        <x:v>85</x:v>
      </x:c>
      <x:c r="J42" s="141" t="str">
        <x:v>Completed</x:v>
      </x:c>
      <x:c r="K42" s="141" t="str">
        <x:v>No</x:v>
      </x:c>
      <x:c r="L42" s="173" t="n">
        <x:v>4360</x:v>
      </x:c>
      <x:c r="M42" s="141" t="str">
        <x:v>Internal SME</x:v>
      </x:c>
    </x:row>
    <x:row r="43">
      <x:c r="A43" s="141" t="str">
        <x:v>TR-0041</x:v>
      </x:c>
      <x:c r="B43" s="141" t="str">
        <x:v>SG-24020022006</x:v>
      </x:c>
      <x:c r="C43" s="141" t="str">
        <x:v>Q4</x:v>
      </x:c>
      <x:c r="D43" s="141" t="str">
        <x:v>Research and Development</x:v>
      </x:c>
      <x:c r="E43" s="141" t="str">
        <x:v>Lean Manufacturing Basics</x:v>
      </x:c>
      <x:c r="F43" s="141" t="str">
        <x:v>Operational Excellence</x:v>
      </x:c>
      <x:c r="G43" s="171" t="n">
        <x:v>46350</x:v>
      </x:c>
      <x:c r="H43" s="141" t="n">
        <x:v>12</x:v>
      </x:c>
      <x:c r="I43" s="141" t="n">
        <x:v>72</x:v>
      </x:c>
      <x:c r="J43" s="141" t="str">
        <x:v>Completed</x:v>
      </x:c>
      <x:c r="K43" s="141" t="str">
        <x:v>No</x:v>
      </x:c>
      <x:c r="L43" s="173" t="n">
        <x:v>2283</x:v>
      </x:c>
      <x:c r="M43" s="141" t="str">
        <x:v>Sabia Academy</x:v>
      </x:c>
    </x:row>
    <x:row r="44">
      <x:c r="A44" s="141" t="str">
        <x:v>TR-0042</x:v>
      </x:c>
      <x:c r="B44" s="141" t="str">
        <x:v>SG-23001102614</x:v>
      </x:c>
      <x:c r="C44" s="141" t="str">
        <x:v>Q4</x:v>
      </x:c>
      <x:c r="D44" s="141" t="str">
        <x:v>Engineering and Maintenance</x:v>
      </x:c>
      <x:c r="E44" s="141" t="str">
        <x:v>ESD Safety and Handling</x:v>
      </x:c>
      <x:c r="F44" s="141" t="str">
        <x:v>Compliance</x:v>
      </x:c>
      <x:c r="G44" s="171" t="n">
        <x:v>46341</x:v>
      </x:c>
      <x:c r="H44" s="141" t="n">
        <x:v>8</x:v>
      </x:c>
      <x:c r="I44" s="141" t="n">
        <x:v>81</x:v>
      </x:c>
      <x:c r="J44" s="141" t="str">
        <x:v>Completed</x:v>
      </x:c>
      <x:c r="K44" s="141" t="str">
        <x:v>Yes</x:v>
      </x:c>
      <x:c r="L44" s="173" t="n">
        <x:v>2367</x:v>
      </x:c>
      <x:c r="M44" s="141" t="str">
        <x:v>Sabia Academy</x:v>
      </x:c>
    </x:row>
    <x:row r="45">
      <x:c r="A45" s="141" t="str">
        <x:v>TR-0043</x:v>
      </x:c>
      <x:c r="B45" s="141" t="str">
        <x:v>SG-23001102614</x:v>
      </x:c>
      <x:c r="C45" s="141" t="str">
        <x:v>Q4</x:v>
      </x:c>
      <x:c r="D45" s="141" t="str">
        <x:v>Engineering and Maintenance</x:v>
      </x:c>
      <x:c r="E45" s="141" t="str">
        <x:v>Power BI for HR and Operations</x:v>
      </x:c>
      <x:c r="F45" s="141" t="str">
        <x:v>Analytics</x:v>
      </x:c>
      <x:c r="G45" s="171" t="n">
        <x:v>46303</x:v>
      </x:c>
      <x:c r="H45" s="141" t="n">
        <x:v>12</x:v>
      </x:c>
      <x:c r="I45" s="141" t="n">
        <x:v>64</x:v>
      </x:c>
      <x:c r="J45" s="141" t="str">
        <x:v>Completed</x:v>
      </x:c>
      <x:c r="K45" s="141" t="str">
        <x:v>No</x:v>
      </x:c>
      <x:c r="L45" s="173" t="n">
        <x:v>4208</x:v>
      </x:c>
      <x:c r="M45" s="141" t="str">
        <x:v>External Consultant</x:v>
      </x:c>
    </x:row>
    <x:row r="46">
      <x:c r="A46" s="141" t="str">
        <x:v>TR-0044</x:v>
      </x:c>
      <x:c r="B46" s="141" t="str">
        <x:v>SG-24026092612</x:v>
      </x:c>
      <x:c r="C46" s="141" t="str">
        <x:v>Q4</x:v>
      </x:c>
      <x:c r="D46" s="141" t="str">
        <x:v>Research and Development</x:v>
      </x:c>
      <x:c r="E46" s="141" t="str">
        <x:v>Power BI for HR and Operations</x:v>
      </x:c>
      <x:c r="F46" s="141" t="str">
        <x:v>Analytics</x:v>
      </x:c>
      <x:c r="G46" s="171" t="n">
        <x:v>46326</x:v>
      </x:c>
      <x:c r="H46" s="141" t="n">
        <x:v>12</x:v>
      </x:c>
      <x:c r="I46" s="141" t="n">
        <x:v>87</x:v>
      </x:c>
      <x:c r="J46" s="141" t="str">
        <x:v>Completed</x:v>
      </x:c>
      <x:c r="K46" s="141" t="str">
        <x:v>No</x:v>
      </x:c>
      <x:c r="L46" s="173" t="n">
        <x:v>2695</x:v>
      </x:c>
      <x:c r="M46" s="141" t="str">
        <x:v>Sabia Academy</x:v>
      </x:c>
    </x:row>
    <x:row r="47">
      <x:c r="A47" s="141" t="str">
        <x:v>TR-0045</x:v>
      </x:c>
      <x:c r="B47" s="141" t="str">
        <x:v>SG-23013092613</x:v>
      </x:c>
      <x:c r="C47" s="141" t="str">
        <x:v>Q4</x:v>
      </x:c>
      <x:c r="D47" s="141" t="str">
        <x:v>Engineering and Maintenance</x:v>
      </x:c>
      <x:c r="E47" s="141" t="str">
        <x:v>Embedded Systems Fundamentals</x:v>
      </x:c>
      <x:c r="F47" s="141" t="str">
        <x:v>Technical</x:v>
      </x:c>
      <x:c r="G47" s="171" t="n">
        <x:v>46303</x:v>
      </x:c>
      <x:c r="H47" s="141" t="n">
        <x:v>20</x:v>
      </x:c>
      <x:c r="I47" s="141" t="n">
        <x:v>86</x:v>
      </x:c>
      <x:c r="J47" s="141" t="str">
        <x:v>Completed</x:v>
      </x:c>
      <x:c r="K47" s="141" t="str">
        <x:v>Yes</x:v>
      </x:c>
      <x:c r="L47" s="173" t="n">
        <x:v>1432</x:v>
      </x:c>
      <x:c r="M47" s="141" t="str">
        <x:v>BUET Industry Partner</x:v>
      </x:c>
    </x:row>
    <x:row r="48">
      <x:c r="A48" s="141" t="str">
        <x:v>TR-0046</x:v>
      </x:c>
      <x:c r="B48" s="141" t="str">
        <x:v>SG-23030082611</x:v>
      </x:c>
      <x:c r="C48" s="141" t="str">
        <x:v>Q3</x:v>
      </x:c>
      <x:c r="D48" s="141" t="str">
        <x:v>Engineering and Maintenance</x:v>
      </x:c>
      <x:c r="E48" s="141" t="str">
        <x:v>Quality at Source</x:v>
      </x:c>
      <x:c r="F48" s="141" t="str">
        <x:v>Quality</x:v>
      </x:c>
      <x:c r="G48" s="171" t="n">
        <x:v>46289</x:v>
      </x:c>
      <x:c r="H48" s="141" t="n">
        <x:v>8</x:v>
      </x:c>
      <x:c r="I48" s="141" t="n">
        <x:v>89</x:v>
      </x:c>
      <x:c r="J48" s="141" t="str">
        <x:v>Completed</x:v>
      </x:c>
      <x:c r="K48" s="141" t="str">
        <x:v>Yes</x:v>
      </x:c>
      <x:c r="L48" s="173" t="n">
        <x:v>3386</x:v>
      </x:c>
      <x:c r="M48" s="141" t="str">
        <x:v>Sabia Academy</x:v>
      </x:c>
    </x:row>
    <x:row r="49">
      <x:c r="A49" s="141" t="str">
        <x:v>TR-0047</x:v>
      </x:c>
      <x:c r="B49" s="141" t="str">
        <x:v>SG-23025112404</x:v>
      </x:c>
      <x:c r="C49" s="141" t="str">
        <x:v>Q3</x:v>
      </x:c>
      <x:c r="D49" s="141" t="str">
        <x:v>Engineering and Maintenance</x:v>
      </x:c>
      <x:c r="E49" s="141" t="str">
        <x:v>Bangladesh Labour Law Awareness</x:v>
      </x:c>
      <x:c r="F49" s="141" t="str">
        <x:v>Compliance</x:v>
      </x:c>
      <x:c r="G49" s="171" t="n">
        <x:v>46281</x:v>
      </x:c>
      <x:c r="H49" s="141" t="n">
        <x:v>6</x:v>
      </x:c>
      <x:c r="I49" s="141" t="n">
        <x:v>93</x:v>
      </x:c>
      <x:c r="J49" s="141" t="str">
        <x:v>Completed</x:v>
      </x:c>
      <x:c r="K49" s="141" t="str">
        <x:v>Yes</x:v>
      </x:c>
      <x:c r="L49" s="173" t="n">
        <x:v>1811</x:v>
      </x:c>
      <x:c r="M49" s="141" t="str">
        <x:v>Internal SME</x:v>
      </x:c>
    </x:row>
    <x:row r="50">
      <x:c r="A50" s="141" t="str">
        <x:v>TR-0048</x:v>
      </x:c>
      <x:c r="B50" s="141" t="str">
        <x:v>SG-21004122674</x:v>
      </x:c>
      <x:c r="C50" s="141" t="str">
        <x:v>Q4</x:v>
      </x:c>
      <x:c r="D50" s="141" t="str">
        <x:v>Smartwatch Production</x:v>
      </x:c>
      <x:c r="E50" s="141" t="str">
        <x:v>Precision Assembly Certification</x:v>
      </x:c>
      <x:c r="F50" s="141" t="str">
        <x:v>Technical</x:v>
      </x:c>
      <x:c r="G50" s="171" t="n">
        <x:v>46367</x:v>
      </x:c>
      <x:c r="H50" s="141" t="n">
        <x:v>16</x:v>
      </x:c>
      <x:c r="I50" s="141" t="n">
        <x:v>84</x:v>
      </x:c>
      <x:c r="J50" s="141" t="str">
        <x:v>Completed</x:v>
      </x:c>
      <x:c r="K50" s="141" t="str">
        <x:v>Yes</x:v>
      </x:c>
      <x:c r="L50" s="173" t="n">
        <x:v>3553</x:v>
      </x:c>
      <x:c r="M50" s="141" t="str">
        <x:v>BUET Industry Partner</x:v>
      </x:c>
    </x:row>
    <x:row r="51">
      <x:c r="A51" s="141" t="str">
        <x:v>TR-0049</x:v>
      </x:c>
      <x:c r="B51" s="141" t="str">
        <x:v>SG-21004122674</x:v>
      </x:c>
      <x:c r="C51" s="141" t="str">
        <x:v>Q4</x:v>
      </x:c>
      <x:c r="D51" s="141" t="str">
        <x:v>Smartwatch Production</x:v>
      </x:c>
      <x:c r="E51" s="141" t="str">
        <x:v>ESD Safety and Handling</x:v>
      </x:c>
      <x:c r="F51" s="141" t="str">
        <x:v>Compliance</x:v>
      </x:c>
      <x:c r="G51" s="171" t="n">
        <x:v>46371</x:v>
      </x:c>
      <x:c r="H51" s="141" t="n">
        <x:v>8</x:v>
      </x:c>
      <x:c r="I51" s="141" t="n">
        <x:v>66</x:v>
      </x:c>
      <x:c r="J51" s="141" t="str">
        <x:v>Completed</x:v>
      </x:c>
      <x:c r="K51" s="141" t="str">
        <x:v>No</x:v>
      </x:c>
      <x:c r="L51" s="173" t="n">
        <x:v>2399</x:v>
      </x:c>
      <x:c r="M51" s="141" t="str">
        <x:v>Sabia Academy</x:v>
      </x:c>
    </x:row>
    <x:row r="52">
      <x:c r="A52" s="141" t="str">
        <x:v>TR-0050</x:v>
      </x:c>
      <x:c r="B52" s="141" t="str">
        <x:v>SG-12727052607</x:v>
      </x:c>
      <x:c r="C52" s="141" t="str">
        <x:v>Q3</x:v>
      </x:c>
      <x:c r="D52" s="141" t="str">
        <x:v>Human Resources and People</x:v>
      </x:c>
      <x:c r="E52" s="141" t="str">
        <x:v>Quality at Source</x:v>
      </x:c>
      <x:c r="F52" s="141" t="str">
        <x:v>Quality</x:v>
      </x:c>
      <x:c r="G52" s="171" t="n">
        <x:v>46226</x:v>
      </x:c>
      <x:c r="H52" s="141" t="n">
        <x:v>8</x:v>
      </x:c>
      <x:c r="I52" s="141" t="n">
        <x:v>88</x:v>
      </x:c>
      <x:c r="J52" s="141" t="str">
        <x:v>Completed</x:v>
      </x:c>
      <x:c r="K52" s="141" t="str">
        <x:v>Yes</x:v>
      </x:c>
      <x:c r="L52" s="173" t="n">
        <x:v>2152</x:v>
      </x:c>
      <x:c r="M52" s="141" t="str">
        <x:v>External Consultant</x:v>
      </x:c>
    </x:row>
    <x:row r="53">
      <x:c r="A53" s="141" t="str">
        <x:v>TR-0051</x:v>
      </x:c>
      <x:c r="B53" s="141" t="str">
        <x:v>SG-21007102673</x:v>
      </x:c>
      <x:c r="C53" s="141" t="str">
        <x:v>Q4</x:v>
      </x:c>
      <x:c r="D53" s="141" t="str">
        <x:v>Smartwatch Production</x:v>
      </x:c>
      <x:c r="E53" s="141" t="str">
        <x:v>ESD Safety and Handling</x:v>
      </x:c>
      <x:c r="F53" s="141" t="str">
        <x:v>Compliance</x:v>
      </x:c>
      <x:c r="G53" s="171" t="n">
        <x:v>46343</x:v>
      </x:c>
      <x:c r="H53" s="141" t="n">
        <x:v>8</x:v>
      </x:c>
      <x:c r="I53" s="141" t="n">
        <x:v>71</x:v>
      </x:c>
      <x:c r="J53" s="141" t="str">
        <x:v>Completed</x:v>
      </x:c>
      <x:c r="K53" s="141" t="str">
        <x:v>No</x:v>
      </x:c>
      <x:c r="L53" s="173" t="n">
        <x:v>1458</x:v>
      </x:c>
      <x:c r="M53" s="141" t="str">
        <x:v>Internal SME</x:v>
      </x:c>
    </x:row>
    <x:row r="54">
      <x:c r="A54" s="141" t="str">
        <x:v>TR-0052</x:v>
      </x:c>
      <x:c r="B54" s="141" t="str">
        <x:v>SG-21007102673</x:v>
      </x:c>
      <x:c r="C54" s="141" t="str">
        <x:v>Q4</x:v>
      </x:c>
      <x:c r="D54" s="141" t="str">
        <x:v>Smartwatch Production</x:v>
      </x:c>
      <x:c r="E54" s="141" t="str">
        <x:v>Precision Assembly Certification</x:v>
      </x:c>
      <x:c r="F54" s="141" t="str">
        <x:v>Technical</x:v>
      </x:c>
      <x:c r="G54" s="171" t="n">
        <x:v>46371</x:v>
      </x:c>
      <x:c r="H54" s="141" t="n">
        <x:v>16</x:v>
      </x:c>
      <x:c r="I54" s="141" t="n">
        <x:v>96</x:v>
      </x:c>
      <x:c r="J54" s="141" t="str">
        <x:v>Completed</x:v>
      </x:c>
      <x:c r="K54" s="141" t="str">
        <x:v>Yes</x:v>
      </x:c>
      <x:c r="L54" s="173" t="n">
        <x:v>3450</x:v>
      </x:c>
      <x:c r="M54" s="141" t="str">
        <x:v>External Consultant</x:v>
      </x:c>
    </x:row>
    <x:row r="55">
      <x:c r="A55" s="141" t="str">
        <x:v>TR-0053</x:v>
      </x:c>
      <x:c r="B55" s="141" t="str">
        <x:v>SG-21018072656</x:v>
      </x:c>
      <x:c r="C55" s="141" t="str">
        <x:v>Q4</x:v>
      </x:c>
      <x:c r="D55" s="141" t="str">
        <x:v>Smartwatch Production</x:v>
      </x:c>
      <x:c r="E55" s="141" t="str">
        <x:v>Precision Assembly Certification</x:v>
      </x:c>
      <x:c r="F55" s="141" t="str">
        <x:v>Technical</x:v>
      </x:c>
      <x:c r="G55" s="171" t="n">
        <x:v>46321</x:v>
      </x:c>
      <x:c r="H55" s="141" t="n">
        <x:v>16</x:v>
      </x:c>
      <x:c r="I55" s="141" t="n">
        <x:v>75</x:v>
      </x:c>
      <x:c r="J55" s="141" t="str">
        <x:v>Completed</x:v>
      </x:c>
      <x:c r="K55" s="141" t="str">
        <x:v>Yes</x:v>
      </x:c>
      <x:c r="L55" s="173" t="n">
        <x:v>3382</x:v>
      </x:c>
      <x:c r="M55" s="141" t="str">
        <x:v>BUET Industry Partner</x:v>
      </x:c>
    </x:row>
    <x:row r="56">
      <x:c r="A56" s="141" t="str">
        <x:v>TR-0054</x:v>
      </x:c>
      <x:c r="B56" s="141" t="str">
        <x:v>SG-21018072656</x:v>
      </x:c>
      <x:c r="C56" s="141" t="str">
        <x:v>Q4</x:v>
      </x:c>
      <x:c r="D56" s="141" t="str">
        <x:v>Smartwatch Production</x:v>
      </x:c>
      <x:c r="E56" s="141" t="str">
        <x:v>ESD Safety and Handling</x:v>
      </x:c>
      <x:c r="F56" s="141" t="str">
        <x:v>Compliance</x:v>
      </x:c>
      <x:c r="G56" s="171" t="n">
        <x:v>46336</x:v>
      </x:c>
      <x:c r="H56" s="141" t="n">
        <x:v>8</x:v>
      </x:c>
      <x:c r="I56" s="141" t="n">
        <x:v>74</x:v>
      </x:c>
      <x:c r="J56" s="141" t="str">
        <x:v>Completed</x:v>
      </x:c>
      <x:c r="K56" s="141" t="str">
        <x:v>No</x:v>
      </x:c>
      <x:c r="L56" s="173" t="n">
        <x:v>4642</x:v>
      </x:c>
      <x:c r="M56" s="141" t="str">
        <x:v>External Consultant</x:v>
      </x:c>
    </x:row>
    <x:row r="57">
      <x:c r="A57" s="141" t="str">
        <x:v>TR-0055</x:v>
      </x:c>
      <x:c r="B57" s="141" t="str">
        <x:v>SG-24021022401</x:v>
      </x:c>
      <x:c r="C57" s="141" t="str">
        <x:v>Q2</x:v>
      </x:c>
      <x:c r="D57" s="141" t="str">
        <x:v>Research and Development</x:v>
      </x:c>
      <x:c r="E57" s="141" t="str">
        <x:v>Quality at Source</x:v>
      </x:c>
      <x:c r="F57" s="141" t="str">
        <x:v>Quality</x:v>
      </x:c>
      <x:c r="G57" s="171" t="n">
        <x:v>46181</x:v>
      </x:c>
      <x:c r="H57" s="141" t="n">
        <x:v>8</x:v>
      </x:c>
      <x:c r="I57" s="141" t="n">
        <x:v>65</x:v>
      </x:c>
      <x:c r="J57" s="141" t="str">
        <x:v>Completed</x:v>
      </x:c>
      <x:c r="K57" s="141" t="str">
        <x:v>No</x:v>
      </x:c>
      <x:c r="L57" s="173" t="n">
        <x:v>1548</x:v>
      </x:c>
      <x:c r="M57" s="141" t="str">
        <x:v>Internal SME</x:v>
      </x:c>
    </x:row>
    <x:row r="58">
      <x:c r="A58" s="141" t="str">
        <x:v>TR-0056</x:v>
      </x:c>
      <x:c r="B58" s="141" t="str">
        <x:v>SG-23004112615</x:v>
      </x:c>
      <x:c r="C58" s="141" t="str">
        <x:v>Q4</x:v>
      </x:c>
      <x:c r="D58" s="141" t="str">
        <x:v>Engineering and Maintenance</x:v>
      </x:c>
      <x:c r="E58" s="141" t="str">
        <x:v>Quality at Source</x:v>
      </x:c>
      <x:c r="F58" s="141" t="str">
        <x:v>Quality</x:v>
      </x:c>
      <x:c r="G58" s="171" t="n">
        <x:v>46343</x:v>
      </x:c>
      <x:c r="H58" s="141" t="n">
        <x:v>8</x:v>
      </x:c>
      <x:c r="I58" s="141" t="n">
        <x:v>86</x:v>
      </x:c>
      <x:c r="J58" s="141" t="str">
        <x:v>Completed</x:v>
      </x:c>
      <x:c r="K58" s="141" t="str">
        <x:v>Yes</x:v>
      </x:c>
      <x:c r="L58" s="173" t="n">
        <x:v>1471</x:v>
      </x:c>
      <x:c r="M58" s="141" t="str">
        <x:v>BUET Industry Partner</x:v>
      </x:c>
    </x:row>
    <x:row r="59">
      <x:c r="A59" s="141" t="str">
        <x:v>TR-0057</x:v>
      </x:c>
      <x:c r="B59" s="141" t="str">
        <x:v>SG-21001052651</x:v>
      </x:c>
      <x:c r="C59" s="141" t="str">
        <x:v>Q4</x:v>
      </x:c>
      <x:c r="D59" s="141" t="str">
        <x:v>Smartwatch Production</x:v>
      </x:c>
      <x:c r="E59" s="141" t="str">
        <x:v>Precision Assembly Certification</x:v>
      </x:c>
      <x:c r="F59" s="141" t="str">
        <x:v>Technical</x:v>
      </x:c>
      <x:c r="G59" s="171" t="n">
        <x:v>46319</x:v>
      </x:c>
      <x:c r="H59" s="141" t="n">
        <x:v>16</x:v>
      </x:c>
      <x:c r="I59" s="141" t="n">
        <x:v>81</x:v>
      </x:c>
      <x:c r="J59" s="141" t="str">
        <x:v>Completed</x:v>
      </x:c>
      <x:c r="K59" s="141" t="str">
        <x:v>Yes</x:v>
      </x:c>
      <x:c r="L59" s="173" t="n">
        <x:v>3825</x:v>
      </x:c>
      <x:c r="M59" s="141" t="str">
        <x:v>Sabia Academy</x:v>
      </x:c>
    </x:row>
    <x:row r="60">
      <x:c r="A60" s="141" t="str">
        <x:v>TR-0058</x:v>
      </x:c>
      <x:c r="B60" s="141" t="str">
        <x:v>SG-21001052651</x:v>
      </x:c>
      <x:c r="C60" s="141" t="str">
        <x:v>Q3</x:v>
      </x:c>
      <x:c r="D60" s="141" t="str">
        <x:v>Smartwatch Production</x:v>
      </x:c>
      <x:c r="E60" s="141" t="str">
        <x:v>ESD Safety and Handling</x:v>
      </x:c>
      <x:c r="F60" s="141" t="str">
        <x:v>Compliance</x:v>
      </x:c>
      <x:c r="G60" s="171" t="n">
        <x:v>46264</x:v>
      </x:c>
      <x:c r="H60" s="141" t="n">
        <x:v>8</x:v>
      </x:c>
      <x:c r="I60" s="141" t="n">
        <x:v>92</x:v>
      </x:c>
      <x:c r="J60" s="141" t="str">
        <x:v>Completed</x:v>
      </x:c>
      <x:c r="K60" s="141" t="str">
        <x:v>Yes</x:v>
      </x:c>
      <x:c r="L60" s="173" t="n">
        <x:v>2912</x:v>
      </x:c>
      <x:c r="M60" s="141" t="str">
        <x:v>Sabia Academy</x:v>
      </x:c>
    </x:row>
    <x:row r="61">
      <x:c r="A61" s="141" t="str">
        <x:v>TR-0059</x:v>
      </x:c>
      <x:c r="B61" s="141" t="str">
        <x:v>SG-21004042650</x:v>
      </x:c>
      <x:c r="C61" s="141" t="str">
        <x:v>Q3</x:v>
      </x:c>
      <x:c r="D61" s="141" t="str">
        <x:v>Smartwatch Production</x:v>
      </x:c>
      <x:c r="E61" s="141" t="str">
        <x:v>Supervisor Essentials</x:v>
      </x:c>
      <x:c r="F61" s="141" t="str">
        <x:v>Leadership</x:v>
      </x:c>
      <x:c r="G61" s="171" t="n">
        <x:v>46256</x:v>
      </x:c>
      <x:c r="H61" s="141" t="n">
        <x:v>12</x:v>
      </x:c>
      <x:c r="I61" s="141" t="n">
        <x:v>85</x:v>
      </x:c>
      <x:c r="J61" s="141" t="str">
        <x:v>Completed</x:v>
      </x:c>
      <x:c r="K61" s="141" t="str">
        <x:v>No</x:v>
      </x:c>
      <x:c r="L61" s="173" t="n">
        <x:v>4211</x:v>
      </x:c>
      <x:c r="M61" s="141" t="str">
        <x:v>BUET Industry Partner</x:v>
      </x:c>
    </x:row>
    <x:row r="62">
      <x:c r="A62" s="141" t="str">
        <x:v>TR-0060</x:v>
      </x:c>
      <x:c r="B62" s="141" t="str">
        <x:v>SG-22004012208</x:v>
      </x:c>
      <x:c r="C62" s="141" t="str">
        <x:v>Q2</x:v>
      </x:c>
      <x:c r="D62" s="141" t="str">
        <x:v>Quality Assurance</x:v>
      </x:c>
      <x:c r="E62" s="141" t="str">
        <x:v>Quality at Source</x:v>
      </x:c>
      <x:c r="F62" s="141" t="str">
        <x:v>Quality</x:v>
      </x:c>
      <x:c r="G62" s="171" t="n">
        <x:v>46113</x:v>
      </x:c>
      <x:c r="H62" s="141" t="n">
        <x:v>8</x:v>
      </x:c>
      <x:c r="I62" s="141" t="n">
        <x:v>73</x:v>
      </x:c>
      <x:c r="J62" s="141" t="str">
        <x:v>Completed</x:v>
      </x:c>
      <x:c r="K62" s="141" t="str">
        <x:v>No</x:v>
      </x:c>
      <x:c r="L62" s="173" t="n">
        <x:v>3497</x:v>
      </x:c>
      <x:c r="M62" s="141" t="str">
        <x:v>Internal SME</x:v>
      </x:c>
    </x:row>
    <x:row r="63">
      <x:c r="A63" s="141" t="str">
        <x:v>TR-0061</x:v>
      </x:c>
      <x:c r="B63" s="141" t="str">
        <x:v>SG-23003042610</x:v>
      </x:c>
      <x:c r="C63" s="141" t="str">
        <x:v>Q3</x:v>
      </x:c>
      <x:c r="D63" s="141" t="str">
        <x:v>Engineering and Maintenance</x:v>
      </x:c>
      <x:c r="E63" s="141" t="str">
        <x:v>ESD Safety and Handling</x:v>
      </x:c>
      <x:c r="F63" s="141" t="str">
        <x:v>Compliance</x:v>
      </x:c>
      <x:c r="G63" s="171" t="n">
        <x:v>46253</x:v>
      </x:c>
      <x:c r="H63" s="141" t="n">
        <x:v>8</x:v>
      </x:c>
      <x:c r="I63" s="141" t="n">
        <x:v>63</x:v>
      </x:c>
      <x:c r="J63" s="141" t="str">
        <x:v>Completed</x:v>
      </x:c>
      <x:c r="K63" s="141" t="str">
        <x:v>No</x:v>
      </x:c>
      <x:c r="L63" s="173" t="n">
        <x:v>2815</x:v>
      </x:c>
      <x:c r="M63" s="141" t="str">
        <x:v>BUET Industry Partner</x:v>
      </x:c>
    </x:row>
    <x:row r="64">
      <x:c r="A64" s="141" t="str">
        <x:v>TR-0062</x:v>
      </x:c>
      <x:c r="B64" s="141" t="str">
        <x:v>SG-23003042610</x:v>
      </x:c>
      <x:c r="C64" s="141" t="str">
        <x:v>Q3</x:v>
      </x:c>
      <x:c r="D64" s="141" t="str">
        <x:v>Engineering and Maintenance</x:v>
      </x:c>
      <x:c r="E64" s="141" t="str">
        <x:v>Embedded Systems Fundamentals</x:v>
      </x:c>
      <x:c r="F64" s="141" t="str">
        <x:v>Technical</x:v>
      </x:c>
      <x:c r="G64" s="171" t="n">
        <x:v>46295</x:v>
      </x:c>
      <x:c r="H64" s="141" t="n">
        <x:v>20</x:v>
      </x:c>
      <x:c r="I64" s="141" t="n">
        <x:v>96</x:v>
      </x:c>
      <x:c r="J64" s="141" t="str">
        <x:v>Completed</x:v>
      </x:c>
      <x:c r="K64" s="141" t="str">
        <x:v>Yes</x:v>
      </x:c>
      <x:c r="L64" s="173" t="n">
        <x:v>3232</x:v>
      </x:c>
      <x:c r="M64" s="141" t="str">
        <x:v>Internal SME</x:v>
      </x:c>
    </x:row>
    <x:row r="65">
      <x:c r="A65" s="141" t="str">
        <x:v>TR-0063</x:v>
      </x:c>
      <x:c r="B65" s="141" t="str">
        <x:v>SG-29001082605</x:v>
      </x:c>
      <x:c r="C65" s="141" t="str">
        <x:v>Q4</x:v>
      </x:c>
      <x:c r="D65" s="141" t="str">
        <x:v>Sales Distribution and Service</x:v>
      </x:c>
      <x:c r="E65" s="141" t="str">
        <x:v>Bangladesh Labour Law Awareness</x:v>
      </x:c>
      <x:c r="F65" s="141" t="str">
        <x:v>Compliance</x:v>
      </x:c>
      <x:c r="G65" s="171" t="n">
        <x:v>46365</x:v>
      </x:c>
      <x:c r="H65" s="141" t="n">
        <x:v>6</x:v>
      </x:c>
      <x:c r="I65" s="141" t="n">
        <x:v>88</x:v>
      </x:c>
      <x:c r="J65" s="141" t="str">
        <x:v>Completed</x:v>
      </x:c>
      <x:c r="K65" s="141" t="str">
        <x:v>Yes</x:v>
      </x:c>
      <x:c r="L65" s="173" t="n">
        <x:v>1900</x:v>
      </x:c>
      <x:c r="M65" s="141" t="str">
        <x:v>Internal SME</x:v>
      </x:c>
    </x:row>
    <x:row r="66">
      <x:c r="A66" s="141" t="str">
        <x:v>TR-0064</x:v>
      </x:c>
      <x:c r="B66" s="141" t="str">
        <x:v>SG-29001082605</x:v>
      </x:c>
      <x:c r="C66" s="141" t="str">
        <x:v>Q3</x:v>
      </x:c>
      <x:c r="D66" s="141" t="str">
        <x:v>Sales Distribution and Service</x:v>
      </x:c>
      <x:c r="E66" s="141" t="str">
        <x:v>Lean Manufacturing Basics</x:v>
      </x:c>
      <x:c r="F66" s="141" t="str">
        <x:v>Operational Excellence</x:v>
      </x:c>
      <x:c r="G66" s="171" t="n">
        <x:v>46264</x:v>
      </x:c>
      <x:c r="H66" s="141" t="n">
        <x:v>12</x:v>
      </x:c>
      <x:c r="I66" s="141" t="n">
        <x:v>75</x:v>
      </x:c>
      <x:c r="J66" s="141" t="str">
        <x:v>Completed</x:v>
      </x:c>
      <x:c r="K66" s="141" t="str">
        <x:v>No</x:v>
      </x:c>
      <x:c r="L66" s="173" t="n">
        <x:v>4756</x:v>
      </x:c>
      <x:c r="M66" s="141" t="str">
        <x:v>Internal SME</x:v>
      </x:c>
    </x:row>
    <x:row r="67">
      <x:c r="A67" s="141" t="str">
        <x:v>TR-0065</x:v>
      </x:c>
      <x:c r="B67" s="141" t="str">
        <x:v>SG-24021032005</x:v>
      </x:c>
      <x:c r="C67" s="141" t="str">
        <x:v>Q3</x:v>
      </x:c>
      <x:c r="D67" s="141" t="str">
        <x:v>Research and Development</x:v>
      </x:c>
      <x:c r="E67" s="141" t="str">
        <x:v>HRIS Employee Self Service</x:v>
      </x:c>
      <x:c r="F67" s="141" t="str">
        <x:v>Digital</x:v>
      </x:c>
      <x:c r="G67" s="171" t="n">
        <x:v>46254</x:v>
      </x:c>
      <x:c r="H67" s="141" t="n">
        <x:v>4</x:v>
      </x:c>
      <x:c r="I67" s="141" t="n">
        <x:v>91</x:v>
      </x:c>
      <x:c r="J67" s="141" t="str">
        <x:v>Completed</x:v>
      </x:c>
      <x:c r="K67" s="141" t="str">
        <x:v>No</x:v>
      </x:c>
      <x:c r="L67" s="173" t="n">
        <x:v>4289</x:v>
      </x:c>
      <x:c r="M67" s="141" t="str">
        <x:v>External Consultant</x:v>
      </x:c>
    </x:row>
    <x:row r="68">
      <x:c r="A68" s="141" t="str">
        <x:v>TR-0066</x:v>
      </x:c>
      <x:c r="B68" s="141" t="str">
        <x:v>SG-21020112675</x:v>
      </x:c>
      <x:c r="C68" s="141" t="str">
        <x:v>Q4</x:v>
      </x:c>
      <x:c r="D68" s="141" t="str">
        <x:v>Smartwatch Production</x:v>
      </x:c>
      <x:c r="E68" s="141" t="str">
        <x:v>Lean Manufacturing Basics</x:v>
      </x:c>
      <x:c r="F68" s="141" t="str">
        <x:v>Operational Excellence</x:v>
      </x:c>
      <x:c r="G68" s="171" t="n">
        <x:v>46373</x:v>
      </x:c>
      <x:c r="H68" s="141" t="n">
        <x:v>12</x:v>
      </x:c>
      <x:c r="I68" s="141" t="n">
        <x:v>87</x:v>
      </x:c>
      <x:c r="J68" s="141" t="str">
        <x:v>Completed</x:v>
      </x:c>
      <x:c r="K68" s="141" t="str">
        <x:v>No</x:v>
      </x:c>
      <x:c r="L68" s="173" t="n">
        <x:v>2464</x:v>
      </x:c>
      <x:c r="M68" s="141" t="str">
        <x:v>External Consultant</x:v>
      </x:c>
    </x:row>
    <x:row r="69">
      <x:c r="A69" s="141" t="str">
        <x:v>TR-0067</x:v>
      </x:c>
      <x:c r="B69" s="141" t="str">
        <x:v>SG-21020112675</x:v>
      </x:c>
      <x:c r="C69" s="141" t="str">
        <x:v>Q4</x:v>
      </x:c>
      <x:c r="D69" s="141" t="str">
        <x:v>Smartwatch Production</x:v>
      </x:c>
      <x:c r="E69" s="141" t="str">
        <x:v>Embedded Systems Fundamentals</x:v>
      </x:c>
      <x:c r="F69" s="141" t="str">
        <x:v>Technical</x:v>
      </x:c>
      <x:c r="G69" s="171" t="n">
        <x:v>46366</x:v>
      </x:c>
      <x:c r="H69" s="141" t="n">
        <x:v>20</x:v>
      </x:c>
      <x:c r="I69" s="141" t="n">
        <x:v>71</x:v>
      </x:c>
      <x:c r="J69" s="141" t="str">
        <x:v>Completed</x:v>
      </x:c>
      <x:c r="K69" s="141" t="str">
        <x:v>No</x:v>
      </x:c>
      <x:c r="L69" s="173" t="n">
        <x:v>4575</x:v>
      </x:c>
      <x:c r="M69" s="141" t="str">
        <x:v>Internal SME</x:v>
      </x:c>
    </x:row>
    <x:row r="70">
      <x:c r="A70" s="141" t="str">
        <x:v>TR-0068</x:v>
      </x:c>
      <x:c r="B70" s="141" t="str">
        <x:v>SG-21020112675</x:v>
      </x:c>
      <x:c r="C70" s="141" t="str">
        <x:v>Q4</x:v>
      </x:c>
      <x:c r="D70" s="141" t="str">
        <x:v>Smartwatch Production</x:v>
      </x:c>
      <x:c r="E70" s="141" t="str">
        <x:v>Quality at Source</x:v>
      </x:c>
      <x:c r="F70" s="141" t="str">
        <x:v>Quality</x:v>
      </x:c>
      <x:c r="G70" s="171" t="n">
        <x:v>46356</x:v>
      </x:c>
      <x:c r="H70" s="141" t="n">
        <x:v>8</x:v>
      </x:c>
      <x:c r="I70" s="141" t="n">
        <x:v>77</x:v>
      </x:c>
      <x:c r="J70" s="141" t="str">
        <x:v>Completed</x:v>
      </x:c>
      <x:c r="K70" s="141" t="str">
        <x:v>Yes</x:v>
      </x:c>
      <x:c r="L70" s="173" t="n">
        <x:v>2098</x:v>
      </x:c>
      <x:c r="M70" s="141" t="str">
        <x:v>External Consultant</x:v>
      </x:c>
    </x:row>
    <x:row r="71">
      <x:c r="A71" s="141" t="str">
        <x:v>TR-0069</x:v>
      </x:c>
      <x:c r="B71" s="141" t="str">
        <x:v>SG-21007122672</x:v>
      </x:c>
      <x:c r="C71" s="141" t="str">
        <x:v>Q4</x:v>
      </x:c>
      <x:c r="D71" s="141" t="str">
        <x:v>Smartwatch Production</x:v>
      </x:c>
      <x:c r="E71" s="141" t="str">
        <x:v>Lean Manufacturing Basics</x:v>
      </x:c>
      <x:c r="F71" s="141" t="str">
        <x:v>Operational Excellence</x:v>
      </x:c>
      <x:c r="G71" s="171" t="n">
        <x:v>46375</x:v>
      </x:c>
      <x:c r="H71" s="141" t="n">
        <x:v>12</x:v>
      </x:c>
      <x:c r="I71" s="141" t="n">
        <x:v>77</x:v>
      </x:c>
      <x:c r="J71" s="141" t="str">
        <x:v>Completed</x:v>
      </x:c>
      <x:c r="K71" s="141" t="str">
        <x:v>No</x:v>
      </x:c>
      <x:c r="L71" s="173" t="n">
        <x:v>3542</x:v>
      </x:c>
      <x:c r="M71" s="141" t="str">
        <x:v>BUET Industry Partner</x:v>
      </x:c>
    </x:row>
    <x:row r="72">
      <x:c r="A72" s="141" t="str">
        <x:v>TR-0070</x:v>
      </x:c>
      <x:c r="B72" s="141" t="str">
        <x:v>SG-27016122001</x:v>
      </x:c>
      <x:c r="C72" s="141" t="str">
        <x:v>Q2</x:v>
      </x:c>
      <x:c r="D72" s="141" t="str">
        <x:v>Finance and Accounts</x:v>
      </x:c>
      <x:c r="E72" s="141" t="str">
        <x:v>HRIS Employee Self Service</x:v>
      </x:c>
      <x:c r="F72" s="141" t="str">
        <x:v>Digital</x:v>
      </x:c>
      <x:c r="G72" s="171" t="n">
        <x:v>46147</x:v>
      </x:c>
      <x:c r="H72" s="141" t="n">
        <x:v>4</x:v>
      </x:c>
      <x:c r="I72" s="141" t="n">
        <x:v>80</x:v>
      </x:c>
      <x:c r="J72" s="141" t="str">
        <x:v>Completed</x:v>
      </x:c>
      <x:c r="K72" s="141" t="str">
        <x:v>No</x:v>
      </x:c>
      <x:c r="L72" s="173" t="n">
        <x:v>2143</x:v>
      </x:c>
      <x:c r="M72" s="141" t="str">
        <x:v>Internal SME</x:v>
      </x:c>
    </x:row>
    <x:row r="73">
      <x:c r="A73" s="141" t="str">
        <x:v>TR-0071</x:v>
      </x:c>
      <x:c r="B73" s="141" t="str">
        <x:v>SG-27016122001</x:v>
      </x:c>
      <x:c r="C73" s="141" t="str">
        <x:v>Q4</x:v>
      </x:c>
      <x:c r="D73" s="141" t="str">
        <x:v>Finance and Accounts</x:v>
      </x:c>
      <x:c r="E73" s="141" t="str">
        <x:v>Embedded Systems Fundamentals</x:v>
      </x:c>
      <x:c r="F73" s="141" t="str">
        <x:v>Technical</x:v>
      </x:c>
      <x:c r="G73" s="171" t="n">
        <x:v>46365</x:v>
      </x:c>
      <x:c r="H73" s="141" t="n">
        <x:v>20</x:v>
      </x:c>
      <x:c r="I73" s="141" t="n">
        <x:v>72</x:v>
      </x:c>
      <x:c r="J73" s="141" t="str">
        <x:v>Completed</x:v>
      </x:c>
      <x:c r="K73" s="141" t="str">
        <x:v>No</x:v>
      </x:c>
      <x:c r="L73" s="173" t="n">
        <x:v>4154</x:v>
      </x:c>
      <x:c r="M73" s="141" t="str">
        <x:v>External Consultant</x:v>
      </x:c>
    </x:row>
    <x:row r="74">
      <x:c r="A74" s="141" t="str">
        <x:v>TR-0072</x:v>
      </x:c>
      <x:c r="B74" s="141" t="str">
        <x:v>SG-22002092617</x:v>
      </x:c>
      <x:c r="C74" s="141" t="str">
        <x:v>Q4</x:v>
      </x:c>
      <x:c r="D74" s="141" t="str">
        <x:v>Quality Assurance</x:v>
      </x:c>
      <x:c r="E74" s="141" t="str">
        <x:v>Bangladesh Labour Law Awareness</x:v>
      </x:c>
      <x:c r="F74" s="141" t="str">
        <x:v>Compliance</x:v>
      </x:c>
      <x:c r="G74" s="171" t="n">
        <x:v>46314</x:v>
      </x:c>
      <x:c r="H74" s="141" t="n">
        <x:v>6</x:v>
      </x:c>
      <x:c r="I74" s="141" t="n">
        <x:v>72</x:v>
      </x:c>
      <x:c r="J74" s="141" t="str">
        <x:v>Completed</x:v>
      </x:c>
      <x:c r="K74" s="141" t="str">
        <x:v>No</x:v>
      </x:c>
      <x:c r="L74" s="173" t="n">
        <x:v>1434</x:v>
      </x:c>
      <x:c r="M74" s="141" t="str">
        <x:v>BUET Industry Partner</x:v>
      </x:c>
    </x:row>
    <x:row r="75">
      <x:c r="A75" s="141" t="str">
        <x:v>TR-0073</x:v>
      </x:c>
      <x:c r="B75" s="141" t="str">
        <x:v>SG-22023102618</x:v>
      </x:c>
      <x:c r="C75" s="141" t="str">
        <x:v>Q4</x:v>
      </x:c>
      <x:c r="D75" s="141" t="str">
        <x:v>Quality Assurance</x:v>
      </x:c>
      <x:c r="E75" s="141" t="str">
        <x:v>Precision Assembly Certification</x:v>
      </x:c>
      <x:c r="F75" s="141" t="str">
        <x:v>Technical</x:v>
      </x:c>
      <x:c r="G75" s="171" t="n">
        <x:v>46330</x:v>
      </x:c>
      <x:c r="H75" s="141" t="n">
        <x:v>16</x:v>
      </x:c>
      <x:c r="I75" s="141" t="n">
        <x:v>92</x:v>
      </x:c>
      <x:c r="J75" s="141" t="str">
        <x:v>Completed</x:v>
      </x:c>
      <x:c r="K75" s="141" t="str">
        <x:v>Yes</x:v>
      </x:c>
      <x:c r="L75" s="173" t="n">
        <x:v>3310</x:v>
      </x:c>
      <x:c r="M75" s="141" t="str">
        <x:v>Internal SME</x:v>
      </x:c>
    </x:row>
    <x:row r="76">
      <x:c r="A76" s="141" t="str">
        <x:v>TR-0074</x:v>
      </x:c>
      <x:c r="B76" s="141" t="str">
        <x:v>SG-21012052649</x:v>
      </x:c>
      <x:c r="C76" s="141" t="str">
        <x:v>Q4</x:v>
      </x:c>
      <x:c r="D76" s="141" t="str">
        <x:v>Smartwatch Production</x:v>
      </x:c>
      <x:c r="E76" s="141" t="str">
        <x:v>Problem Solving and Root Cause Analysis</x:v>
      </x:c>
      <x:c r="F76" s="141" t="str">
        <x:v>Quality</x:v>
      </x:c>
      <x:c r="G76" s="171" t="n">
        <x:v>46355</x:v>
      </x:c>
      <x:c r="H76" s="141" t="n">
        <x:v>10</x:v>
      </x:c>
      <x:c r="I76" s="141" t="n">
        <x:v>82</x:v>
      </x:c>
      <x:c r="J76" s="141" t="str">
        <x:v>Completed</x:v>
      </x:c>
      <x:c r="K76" s="141" t="str">
        <x:v>Yes</x:v>
      </x:c>
      <x:c r="L76" s="173" t="n">
        <x:v>4567</x:v>
      </x:c>
      <x:c r="M76" s="141" t="str">
        <x:v>BUET Industry Partner</x:v>
      </x:c>
    </x:row>
    <x:row r="77">
      <x:c r="A77" s="141" t="str">
        <x:v>TR-0075</x:v>
      </x:c>
      <x:c r="B77" s="141" t="str">
        <x:v>SG-29026022301</x:v>
      </x:c>
      <x:c r="C77" s="141" t="str">
        <x:v>Q2</x:v>
      </x:c>
      <x:c r="D77" s="141" t="str">
        <x:v>Sales Distribution and Service</x:v>
      </x:c>
      <x:c r="E77" s="141" t="str">
        <x:v>Quality at Source</x:v>
      </x:c>
      <x:c r="F77" s="141" t="str">
        <x:v>Quality</x:v>
      </x:c>
      <x:c r="G77" s="171" t="n">
        <x:v>46138</x:v>
      </x:c>
      <x:c r="H77" s="141" t="n">
        <x:v>8</x:v>
      </x:c>
      <x:c r="I77" s="141" t="n">
        <x:v>75</x:v>
      </x:c>
      <x:c r="J77" s="141" t="str">
        <x:v>Completed</x:v>
      </x:c>
      <x:c r="K77" s="141" t="str">
        <x:v>Yes</x:v>
      </x:c>
      <x:c r="L77" s="173" t="n">
        <x:v>3610</x:v>
      </x:c>
      <x:c r="M77" s="141" t="str">
        <x:v>External Consultant</x:v>
      </x:c>
    </x:row>
    <x:row r="78">
      <x:c r="A78" s="141" t="str">
        <x:v>TR-0076</x:v>
      </x:c>
      <x:c r="B78" s="141" t="str">
        <x:v>SG-28005032303</x:v>
      </x:c>
      <x:c r="C78" s="141" t="str">
        <x:v>Q4</x:v>
      </x:c>
      <x:c r="D78" s="141" t="str">
        <x:v>IT Data and HRIS</x:v>
      </x:c>
      <x:c r="E78" s="141" t="str">
        <x:v>Precision Assembly Certification</x:v>
      </x:c>
      <x:c r="F78" s="141" t="str">
        <x:v>Technical</x:v>
      </x:c>
      <x:c r="G78" s="171" t="n">
        <x:v>46371</x:v>
      </x:c>
      <x:c r="H78" s="141" t="n">
        <x:v>16</x:v>
      </x:c>
      <x:c r="I78" s="141" t="n">
        <x:v>77</x:v>
      </x:c>
      <x:c r="J78" s="141" t="str">
        <x:v>Completed</x:v>
      </x:c>
      <x:c r="K78" s="141" t="str">
        <x:v>Yes</x:v>
      </x:c>
      <x:c r="L78" s="173" t="n">
        <x:v>2471</x:v>
      </x:c>
      <x:c r="M78" s="141" t="str">
        <x:v>BUET Industry Partner</x:v>
      </x:c>
    </x:row>
    <x:row r="79">
      <x:c r="A79" s="141" t="str">
        <x:v>TR-0077</x:v>
      </x:c>
      <x:c r="B79" s="141" t="str">
        <x:v>SG-28005032303</x:v>
      </x:c>
      <x:c r="C79" s="141" t="str">
        <x:v>Q2</x:v>
      </x:c>
      <x:c r="D79" s="141" t="str">
        <x:v>IT Data and HRIS</x:v>
      </x:c>
      <x:c r="E79" s="141" t="str">
        <x:v>Bangladesh Labour Law Awareness</x:v>
      </x:c>
      <x:c r="F79" s="141" t="str">
        <x:v>Compliance</x:v>
      </x:c>
      <x:c r="G79" s="171" t="n">
        <x:v>46142</x:v>
      </x:c>
      <x:c r="H79" s="141" t="n">
        <x:v>6</x:v>
      </x:c>
      <x:c r="I79" s="141" t="n">
        <x:v>84</x:v>
      </x:c>
      <x:c r="J79" s="141" t="str">
        <x:v>Completed</x:v>
      </x:c>
      <x:c r="K79" s="141" t="str">
        <x:v>Yes</x:v>
      </x:c>
      <x:c r="L79" s="173" t="n">
        <x:v>1438</x:v>
      </x:c>
      <x:c r="M79" s="141" t="str">
        <x:v>Sabia Academy</x:v>
      </x:c>
    </x:row>
    <x:row r="80">
      <x:c r="A80" s="141" t="str">
        <x:v>TR-0078</x:v>
      </x:c>
      <x:c r="B80" s="141" t="str">
        <x:v>SG-28005032303</x:v>
      </x:c>
      <x:c r="C80" s="141" t="str">
        <x:v>Q4</x:v>
      </x:c>
      <x:c r="D80" s="141" t="str">
        <x:v>IT Data and HRIS</x:v>
      </x:c>
      <x:c r="E80" s="141" t="str">
        <x:v>Problem Solving and Root Cause Analysis</x:v>
      </x:c>
      <x:c r="F80" s="141" t="str">
        <x:v>Quality</x:v>
      </x:c>
      <x:c r="G80" s="171" t="n">
        <x:v>46348</x:v>
      </x:c>
      <x:c r="H80" s="141" t="n">
        <x:v>10</x:v>
      </x:c>
      <x:c r="I80" s="141" t="n">
        <x:v>79</x:v>
      </x:c>
      <x:c r="J80" s="141" t="str">
        <x:v>Completed</x:v>
      </x:c>
      <x:c r="K80" s="141" t="str">
        <x:v>Yes</x:v>
      </x:c>
      <x:c r="L80" s="173" t="n">
        <x:v>4365</x:v>
      </x:c>
      <x:c r="M80" s="141" t="str">
        <x:v>BUET Industry Partner</x:v>
      </x:c>
    </x:row>
    <x:row r="81">
      <x:c r="A81" s="141" t="str">
        <x:v>TR-0079</x:v>
      </x:c>
      <x:c r="B81" s="141" t="str">
        <x:v>SG-21015092303</x:v>
      </x:c>
      <x:c r="C81" s="141" t="str">
        <x:v>Q2</x:v>
      </x:c>
      <x:c r="D81" s="141" t="str">
        <x:v>Smartwatch Production</x:v>
      </x:c>
      <x:c r="E81" s="141" t="str">
        <x:v>ESD Safety and Handling</x:v>
      </x:c>
      <x:c r="F81" s="141" t="str">
        <x:v>Compliance</x:v>
      </x:c>
      <x:c r="G81" s="171" t="n">
        <x:v>46128</x:v>
      </x:c>
      <x:c r="H81" s="141" t="n">
        <x:v>8</x:v>
      </x:c>
      <x:c r="I81" s="141" t="n">
        <x:v>62</x:v>
      </x:c>
      <x:c r="J81" s="141" t="str">
        <x:v>Completed</x:v>
      </x:c>
      <x:c r="K81" s="141" t="str">
        <x:v>No</x:v>
      </x:c>
      <x:c r="L81" s="173" t="n">
        <x:v>2891</x:v>
      </x:c>
      <x:c r="M81" s="141" t="str">
        <x:v>BUET Industry Partner</x:v>
      </x:c>
    </x:row>
    <x:row r="82">
      <x:c r="A82" s="141" t="str">
        <x:v>TR-0080</x:v>
      </x:c>
      <x:c r="B82" s="141" t="str">
        <x:v>SG-21015092303</x:v>
      </x:c>
      <x:c r="C82" s="141" t="str">
        <x:v>Q4</x:v>
      </x:c>
      <x:c r="D82" s="141" t="str">
        <x:v>Smartwatch Production</x:v>
      </x:c>
      <x:c r="E82" s="141" t="str">
        <x:v>Power BI for HR and Operations</x:v>
      </x:c>
      <x:c r="F82" s="141" t="str">
        <x:v>Analytics</x:v>
      </x:c>
      <x:c r="G82" s="171" t="n">
        <x:v>46319</x:v>
      </x:c>
      <x:c r="H82" s="141" t="n">
        <x:v>12</x:v>
      </x:c>
      <x:c r="I82" s="141" t="n">
        <x:v>89</x:v>
      </x:c>
      <x:c r="J82" s="141" t="str">
        <x:v>Completed</x:v>
      </x:c>
      <x:c r="K82" s="141" t="str">
        <x:v>No</x:v>
      </x:c>
      <x:c r="L82" s="173" t="n">
        <x:v>4000</x:v>
      </x:c>
      <x:c r="M82" s="141" t="str">
        <x:v>Internal SME</x:v>
      </x:c>
    </x:row>
    <x:row r="83">
      <x:c r="A83" s="141" t="str">
        <x:v>TR-0081</x:v>
      </x:c>
      <x:c r="B83" s="141" t="str">
        <x:v>SG-21015092303</x:v>
      </x:c>
      <x:c r="C83" s="141" t="str">
        <x:v>Q3</x:v>
      </x:c>
      <x:c r="D83" s="141" t="str">
        <x:v>Smartwatch Production</x:v>
      </x:c>
      <x:c r="E83" s="141" t="str">
        <x:v>Supervisor Essentials</x:v>
      </x:c>
      <x:c r="F83" s="141" t="str">
        <x:v>Leadership</x:v>
      </x:c>
      <x:c r="G83" s="171" t="n">
        <x:v>46258</x:v>
      </x:c>
      <x:c r="H83" s="141" t="n">
        <x:v>12</x:v>
      </x:c>
      <x:c r="I83" s="141" t="n">
        <x:v>86</x:v>
      </x:c>
      <x:c r="J83" s="141" t="str">
        <x:v>Completed</x:v>
      </x:c>
      <x:c r="K83" s="141" t="str">
        <x:v>No</x:v>
      </x:c>
      <x:c r="L83" s="173" t="n">
        <x:v>4665</x:v>
      </x:c>
      <x:c r="M83" s="141" t="str">
        <x:v>Sabia Academy</x:v>
      </x:c>
    </x:row>
    <x:row r="84">
      <x:c r="A84" s="141" t="str">
        <x:v>TR-0082</x:v>
      </x:c>
      <x:c r="B84" s="141" t="str">
        <x:v>SG-21025062648</x:v>
      </x:c>
      <x:c r="C84" s="141" t="str">
        <x:v>Q3</x:v>
      </x:c>
      <x:c r="D84" s="141" t="str">
        <x:v>Smartwatch Production</x:v>
      </x:c>
      <x:c r="E84" s="141" t="str">
        <x:v>Embedded Systems Fundamentals</x:v>
      </x:c>
      <x:c r="F84" s="141" t="str">
        <x:v>Technical</x:v>
      </x:c>
      <x:c r="G84" s="171" t="n">
        <x:v>46246</x:v>
      </x:c>
      <x:c r="H84" s="141" t="n">
        <x:v>20</x:v>
      </x:c>
      <x:c r="I84" s="141" t="n">
        <x:v>77</x:v>
      </x:c>
      <x:c r="J84" s="141" t="str">
        <x:v>Completed</x:v>
      </x:c>
      <x:c r="K84" s="141" t="str">
        <x:v>Yes</x:v>
      </x:c>
      <x:c r="L84" s="173" t="n">
        <x:v>2854</x:v>
      </x:c>
      <x:c r="M84" s="141" t="str">
        <x:v>Sabia Academy</x:v>
      </x:c>
    </x:row>
    <x:row r="85">
      <x:c r="A85" s="141" t="str">
        <x:v>TR-0083</x:v>
      </x:c>
      <x:c r="B85" s="141" t="str">
        <x:v>SG-21025062648</x:v>
      </x:c>
      <x:c r="C85" s="141" t="str">
        <x:v>Q4</x:v>
      </x:c>
      <x:c r="D85" s="141" t="str">
        <x:v>Smartwatch Production</x:v>
      </x:c>
      <x:c r="E85" s="141" t="str">
        <x:v>Precision Assembly Certification</x:v>
      </x:c>
      <x:c r="F85" s="141" t="str">
        <x:v>Technical</x:v>
      </x:c>
      <x:c r="G85" s="171" t="n">
        <x:v>46301</x:v>
      </x:c>
      <x:c r="H85" s="141" t="n">
        <x:v>16</x:v>
      </x:c>
      <x:c r="I85" s="141" t="n">
        <x:v>69</x:v>
      </x:c>
      <x:c r="J85" s="141" t="str">
        <x:v>Completed</x:v>
      </x:c>
      <x:c r="K85" s="141" t="str">
        <x:v>No</x:v>
      </x:c>
      <x:c r="L85" s="173" t="n">
        <x:v>2850</x:v>
      </x:c>
      <x:c r="M85" s="141" t="str">
        <x:v>Sabia Academy</x:v>
      </x:c>
    </x:row>
    <x:row r="86">
      <x:c r="A86" s="141" t="str">
        <x:v>TR-0084</x:v>
      </x:c>
      <x:c r="B86" s="141" t="str">
        <x:v>SG-21025062648</x:v>
      </x:c>
      <x:c r="C86" s="141" t="str">
        <x:v>Q4</x:v>
      </x:c>
      <x:c r="D86" s="141" t="str">
        <x:v>Smartwatch Production</x:v>
      </x:c>
      <x:c r="E86" s="141" t="str">
        <x:v>Problem Solving and Root Cause Analysis</x:v>
      </x:c>
      <x:c r="F86" s="141" t="str">
        <x:v>Quality</x:v>
      </x:c>
      <x:c r="G86" s="171" t="n">
        <x:v>46314</x:v>
      </x:c>
      <x:c r="H86" s="141" t="n">
        <x:v>10</x:v>
      </x:c>
      <x:c r="I86" s="141" t="n">
        <x:v>83</x:v>
      </x:c>
      <x:c r="J86" s="141" t="str">
        <x:v>Completed</x:v>
      </x:c>
      <x:c r="K86" s="141" t="str">
        <x:v>Yes</x:v>
      </x:c>
      <x:c r="L86" s="173" t="n">
        <x:v>2686</x:v>
      </x:c>
      <x:c r="M86" s="141" t="str">
        <x:v>Internal SME</x:v>
      </x:c>
    </x:row>
    <x:row r="87">
      <x:c r="A87" s="141" t="str">
        <x:v>TR-0085</x:v>
      </x:c>
      <x:c r="B87" s="141" t="str">
        <x:v>SG-21007012041</x:v>
      </x:c>
      <x:c r="C87" s="141" t="str">
        <x:v>Q4</x:v>
      </x:c>
      <x:c r="D87" s="141" t="str">
        <x:v>Smartwatch Production</x:v>
      </x:c>
      <x:c r="E87" s="141" t="str">
        <x:v>Lean Manufacturing Basics</x:v>
      </x:c>
      <x:c r="F87" s="141" t="str">
        <x:v>Operational Excellence</x:v>
      </x:c>
      <x:c r="G87" s="171" t="n">
        <x:v>46328</x:v>
      </x:c>
      <x:c r="H87" s="141" t="n">
        <x:v>12</x:v>
      </x:c>
      <x:c r="I87" s="141" t="n">
        <x:v>94</x:v>
      </x:c>
      <x:c r="J87" s="141" t="str">
        <x:v>Completed</x:v>
      </x:c>
      <x:c r="K87" s="141" t="str">
        <x:v>No</x:v>
      </x:c>
      <x:c r="L87" s="173" t="n">
        <x:v>3611</x:v>
      </x:c>
      <x:c r="M87" s="141" t="str">
        <x:v>External Consultant</x:v>
      </x:c>
    </x:row>
    <x:row r="88">
      <x:c r="A88" s="141" t="str">
        <x:v>TR-0086</x:v>
      </x:c>
      <x:c r="B88" s="141" t="str">
        <x:v>SG-21007012041</x:v>
      </x:c>
      <x:c r="C88" s="141" t="str">
        <x:v>Q3</x:v>
      </x:c>
      <x:c r="D88" s="141" t="str">
        <x:v>Smartwatch Production</x:v>
      </x:c>
      <x:c r="E88" s="141" t="str">
        <x:v>Power BI for HR and Operations</x:v>
      </x:c>
      <x:c r="F88" s="141" t="str">
        <x:v>Analytics</x:v>
      </x:c>
      <x:c r="G88" s="171" t="n">
        <x:v>46234</x:v>
      </x:c>
      <x:c r="H88" s="141" t="n">
        <x:v>12</x:v>
      </x:c>
      <x:c r="I88" s="141" t="n">
        <x:v>76</x:v>
      </x:c>
      <x:c r="J88" s="141" t="str">
        <x:v>Completed</x:v>
      </x:c>
      <x:c r="K88" s="141" t="str">
        <x:v>No</x:v>
      </x:c>
      <x:c r="L88" s="173" t="n">
        <x:v>2686</x:v>
      </x:c>
      <x:c r="M88" s="141" t="str">
        <x:v>Sabia Academy</x:v>
      </x:c>
    </x:row>
    <x:row r="89">
      <x:c r="A89" s="141" t="str">
        <x:v>TR-0087</x:v>
      </x:c>
      <x:c r="B89" s="141" t="str">
        <x:v>SG-28021062605</x:v>
      </x:c>
      <x:c r="C89" s="141" t="str">
        <x:v>Q3</x:v>
      </x:c>
      <x:c r="D89" s="141" t="str">
        <x:v>IT Data and HRIS</x:v>
      </x:c>
      <x:c r="E89" s="141" t="str">
        <x:v>Bangladesh Labour Law Awareness</x:v>
      </x:c>
      <x:c r="F89" s="141" t="str">
        <x:v>Compliance</x:v>
      </x:c>
      <x:c r="G89" s="171" t="n">
        <x:v>46259</x:v>
      </x:c>
      <x:c r="H89" s="141" t="n">
        <x:v>6</x:v>
      </x:c>
      <x:c r="I89" s="141" t="n">
        <x:v>91</x:v>
      </x:c>
      <x:c r="J89" s="141" t="str">
        <x:v>Completed</x:v>
      </x:c>
      <x:c r="K89" s="141" t="str">
        <x:v>Yes</x:v>
      </x:c>
      <x:c r="L89" s="173" t="n">
        <x:v>1975</x:v>
      </x:c>
      <x:c r="M89" s="141" t="str">
        <x:v>Internal SME</x:v>
      </x:c>
    </x:row>
    <x:row r="90">
      <x:c r="A90" s="141" t="str">
        <x:v>TR-0088</x:v>
      </x:c>
      <x:c r="B90" s="141" t="str">
        <x:v>SG-24002041907</x:v>
      </x:c>
      <x:c r="C90" s="141" t="str">
        <x:v>Q2</x:v>
      </x:c>
      <x:c r="D90" s="141" t="str">
        <x:v>Research and Development</x:v>
      </x:c>
      <x:c r="E90" s="141" t="str">
        <x:v>Lean Manufacturing Basics</x:v>
      </x:c>
      <x:c r="F90" s="141" t="str">
        <x:v>Operational Excellence</x:v>
      </x:c>
      <x:c r="G90" s="171" t="n">
        <x:v>46166</x:v>
      </x:c>
      <x:c r="H90" s="141" t="n">
        <x:v>12</x:v>
      </x:c>
      <x:c r="I90" s="141" t="n">
        <x:v>67</x:v>
      </x:c>
      <x:c r="J90" s="141" t="str">
        <x:v>Completed</x:v>
      </x:c>
      <x:c r="K90" s="141" t="str">
        <x:v>No</x:v>
      </x:c>
      <x:c r="L90" s="173" t="n">
        <x:v>1885</x:v>
      </x:c>
      <x:c r="M90" s="141" t="str">
        <x:v>External Consultant</x:v>
      </x:c>
    </x:row>
    <x:row r="91">
      <x:c r="A91" s="141" t="str">
        <x:v>TR-0089</x:v>
      </x:c>
      <x:c r="B91" s="141" t="str">
        <x:v>SG-24002041907</x:v>
      </x:c>
      <x:c r="C91" s="141" t="str">
        <x:v>Q2</x:v>
      </x:c>
      <x:c r="D91" s="141" t="str">
        <x:v>Research and Development</x:v>
      </x:c>
      <x:c r="E91" s="141" t="str">
        <x:v>Supervisor Essentials</x:v>
      </x:c>
      <x:c r="F91" s="141" t="str">
        <x:v>Leadership</x:v>
      </x:c>
      <x:c r="G91" s="171" t="n">
        <x:v>46147</x:v>
      </x:c>
      <x:c r="H91" s="141" t="n">
        <x:v>12</x:v>
      </x:c>
      <x:c r="I91" s="141" t="n">
        <x:v>72</x:v>
      </x:c>
      <x:c r="J91" s="141" t="str">
        <x:v>Completed</x:v>
      </x:c>
      <x:c r="K91" s="141" t="str">
        <x:v>No</x:v>
      </x:c>
      <x:c r="L91" s="173" t="n">
        <x:v>4112</x:v>
      </x:c>
      <x:c r="M91" s="141" t="str">
        <x:v>Internal SME</x:v>
      </x:c>
    </x:row>
    <x:row r="92">
      <x:c r="A92" s="141" t="str">
        <x:v>TR-0090</x:v>
      </x:c>
      <x:c r="B92" s="141" t="str">
        <x:v>SG-28028062201</x:v>
      </x:c>
      <x:c r="C92" s="141" t="str">
        <x:v>Q3</x:v>
      </x:c>
      <x:c r="D92" s="141" t="str">
        <x:v>IT Data and HRIS</x:v>
      </x:c>
      <x:c r="E92" s="141" t="str">
        <x:v>Precision Assembly Certification</x:v>
      </x:c>
      <x:c r="F92" s="141" t="str">
        <x:v>Technical</x:v>
      </x:c>
      <x:c r="G92" s="171" t="n">
        <x:v>46263</x:v>
      </x:c>
      <x:c r="H92" s="141" t="n">
        <x:v>16</x:v>
      </x:c>
      <x:c r="I92" s="141" t="n">
        <x:v>68</x:v>
      </x:c>
      <x:c r="J92" s="141" t="str">
        <x:v>Completed</x:v>
      </x:c>
      <x:c r="K92" s="141" t="str">
        <x:v>No</x:v>
      </x:c>
      <x:c r="L92" s="173" t="n">
        <x:v>4558</x:v>
      </x:c>
      <x:c r="M92" s="141" t="str">
        <x:v>External Consultant</x:v>
      </x:c>
    </x:row>
    <x:row r="93">
      <x:c r="A93" s="141" t="str">
        <x:v>TR-0091</x:v>
      </x:c>
      <x:c r="B93" s="141" t="str">
        <x:v>SG-28028062201</x:v>
      </x:c>
      <x:c r="C93" s="141" t="str">
        <x:v>Q2</x:v>
      </x:c>
      <x:c r="D93" s="141" t="str">
        <x:v>IT Data and HRIS</x:v>
      </x:c>
      <x:c r="E93" s="141" t="str">
        <x:v>HRIS Employee Self Service</x:v>
      </x:c>
      <x:c r="F93" s="141" t="str">
        <x:v>Digital</x:v>
      </x:c>
      <x:c r="G93" s="171" t="n">
        <x:v>46131</x:v>
      </x:c>
      <x:c r="H93" s="141" t="n">
        <x:v>4</x:v>
      </x:c>
      <x:c r="I93" s="141" t="n">
        <x:v>86</x:v>
      </x:c>
      <x:c r="J93" s="141" t="str">
        <x:v>Completed</x:v>
      </x:c>
      <x:c r="K93" s="141" t="str">
        <x:v>No</x:v>
      </x:c>
      <x:c r="L93" s="173" t="n">
        <x:v>2677</x:v>
      </x:c>
      <x:c r="M93" s="141" t="str">
        <x:v>BUET Industry Partner</x:v>
      </x:c>
    </x:row>
    <x:row r="94">
      <x:c r="A94" s="141" t="str">
        <x:v>TR-0092</x:v>
      </x:c>
      <x:c r="B94" s="141" t="str">
        <x:v>SG-28028062201</x:v>
      </x:c>
      <x:c r="C94" s="141" t="str">
        <x:v>Q2</x:v>
      </x:c>
      <x:c r="D94" s="141" t="str">
        <x:v>IT Data and HRIS</x:v>
      </x:c>
      <x:c r="E94" s="141" t="str">
        <x:v>ESD Safety and Handling</x:v>
      </x:c>
      <x:c r="F94" s="141" t="str">
        <x:v>Compliance</x:v>
      </x:c>
      <x:c r="G94" s="171" t="n">
        <x:v>46156</x:v>
      </x:c>
      <x:c r="H94" s="141" t="n">
        <x:v>8</x:v>
      </x:c>
      <x:c r="I94" s="141" t="n">
        <x:v>73</x:v>
      </x:c>
      <x:c r="J94" s="141" t="str">
        <x:v>Completed</x:v>
      </x:c>
      <x:c r="K94" s="141" t="str">
        <x:v>No</x:v>
      </x:c>
      <x:c r="L94" s="173" t="n">
        <x:v>3909</x:v>
      </x:c>
      <x:c r="M94" s="141" t="str">
        <x:v>BUET Industry Partner</x:v>
      </x:c>
    </x:row>
    <x:row r="95">
      <x:c r="A95" s="141" t="str">
        <x:v>TR-0093</x:v>
      </x:c>
      <x:c r="B95" s="141" t="str">
        <x:v>SG-21011062652</x:v>
      </x:c>
      <x:c r="C95" s="141" t="str">
        <x:v>Q3</x:v>
      </x:c>
      <x:c r="D95" s="141" t="str">
        <x:v>Smartwatch Production</x:v>
      </x:c>
      <x:c r="E95" s="141" t="str">
        <x:v>Power BI for HR and Operations</x:v>
      </x:c>
      <x:c r="F95" s="141" t="str">
        <x:v>Analytics</x:v>
      </x:c>
      <x:c r="G95" s="171" t="n">
        <x:v>46276</x:v>
      </x:c>
      <x:c r="H95" s="141" t="n">
        <x:v>12</x:v>
      </x:c>
      <x:c r="I95" s="141" t="n">
        <x:v>83</x:v>
      </x:c>
      <x:c r="J95" s="141" t="str">
        <x:v>Completed</x:v>
      </x:c>
      <x:c r="K95" s="141" t="str">
        <x:v>No</x:v>
      </x:c>
      <x:c r="L95" s="173" t="n">
        <x:v>3821</x:v>
      </x:c>
      <x:c r="M95" s="141" t="str">
        <x:v>BUET Industry Partner</x:v>
      </x:c>
    </x:row>
    <x:row r="96">
      <x:c r="A96" s="141" t="str">
        <x:v>TR-0094</x:v>
      </x:c>
      <x:c r="B96" s="141" t="str">
        <x:v>SG-21011062652</x:v>
      </x:c>
      <x:c r="C96" s="141" t="str">
        <x:v>Q3</x:v>
      </x:c>
      <x:c r="D96" s="141" t="str">
        <x:v>Smartwatch Production</x:v>
      </x:c>
      <x:c r="E96" s="141" t="str">
        <x:v>Embedded Systems Fundamentals</x:v>
      </x:c>
      <x:c r="F96" s="141" t="str">
        <x:v>Technical</x:v>
      </x:c>
      <x:c r="G96" s="171" t="n">
        <x:v>46233</x:v>
      </x:c>
      <x:c r="H96" s="141" t="n">
        <x:v>20</x:v>
      </x:c>
      <x:c r="I96" s="141" t="n">
        <x:v>94</x:v>
      </x:c>
      <x:c r="J96" s="141" t="str">
        <x:v>Completed</x:v>
      </x:c>
      <x:c r="K96" s="141" t="str">
        <x:v>Yes</x:v>
      </x:c>
      <x:c r="L96" s="173" t="n">
        <x:v>1264</x:v>
      </x:c>
      <x:c r="M96" s="141" t="str">
        <x:v>External Consultant</x:v>
      </x:c>
    </x:row>
    <x:row r="97">
      <x:c r="A97" s="141" t="str">
        <x:v>TR-0095</x:v>
      </x:c>
      <x:c r="B97" s="141" t="str">
        <x:v>SG-24027062609</x:v>
      </x:c>
      <x:c r="C97" s="141" t="str">
        <x:v>Q4</x:v>
      </x:c>
      <x:c r="D97" s="141" t="str">
        <x:v>Research and Development</x:v>
      </x:c>
      <x:c r="E97" s="141" t="str">
        <x:v>Bangladesh Labour Law Awareness</x:v>
      </x:c>
      <x:c r="F97" s="141" t="str">
        <x:v>Compliance</x:v>
      </x:c>
      <x:c r="G97" s="171" t="n">
        <x:v>46332</x:v>
      </x:c>
      <x:c r="H97" s="141" t="n">
        <x:v>6</x:v>
      </x:c>
      <x:c r="I97" s="141" t="n">
        <x:v>91</x:v>
      </x:c>
      <x:c r="J97" s="141" t="str">
        <x:v>Completed</x:v>
      </x:c>
      <x:c r="K97" s="141" t="str">
        <x:v>Yes</x:v>
      </x:c>
      <x:c r="L97" s="173" t="n">
        <x:v>3401</x:v>
      </x:c>
      <x:c r="M97" s="141" t="str">
        <x:v>Sabia Academy</x:v>
      </x:c>
    </x:row>
    <x:row r="98">
      <x:c r="A98" s="141" t="str">
        <x:v>TR-0096</x:v>
      </x:c>
      <x:c r="B98" s="141" t="str">
        <x:v>SG-24027062609</x:v>
      </x:c>
      <x:c r="C98" s="141" t="str">
        <x:v>Q3</x:v>
      </x:c>
      <x:c r="D98" s="141" t="str">
        <x:v>Research and Development</x:v>
      </x:c>
      <x:c r="E98" s="141" t="str">
        <x:v>Supervisor Essentials</x:v>
      </x:c>
      <x:c r="F98" s="141" t="str">
        <x:v>Leadership</x:v>
      </x:c>
      <x:c r="G98" s="171" t="n">
        <x:v>46209</x:v>
      </x:c>
      <x:c r="H98" s="141" t="n">
        <x:v>12</x:v>
      </x:c>
      <x:c r="I98" s="141" t="n">
        <x:v>70</x:v>
      </x:c>
      <x:c r="J98" s="141" t="str">
        <x:v>Completed</x:v>
      </x:c>
      <x:c r="K98" s="141" t="str">
        <x:v>No</x:v>
      </x:c>
      <x:c r="L98" s="173" t="n">
        <x:v>3865</x:v>
      </x:c>
      <x:c r="M98" s="141" t="str">
        <x:v>Sabia Academy</x:v>
      </x:c>
    </x:row>
    <x:row r="99">
      <x:c r="A99" s="141" t="str">
        <x:v>TR-0097</x:v>
      </x:c>
      <x:c r="B99" s="141" t="str">
        <x:v>SG-22006072614</x:v>
      </x:c>
      <x:c r="C99" s="141" t="str">
        <x:v>Q4</x:v>
      </x:c>
      <x:c r="D99" s="141" t="str">
        <x:v>Quality Assurance</x:v>
      </x:c>
      <x:c r="E99" s="141" t="str">
        <x:v>Power BI for HR and Operations</x:v>
      </x:c>
      <x:c r="F99" s="141" t="str">
        <x:v>Analytics</x:v>
      </x:c>
      <x:c r="G99" s="171" t="n">
        <x:v>46352</x:v>
      </x:c>
      <x:c r="H99" s="141" t="n">
        <x:v>12</x:v>
      </x:c>
      <x:c r="I99" s="141" t="n">
        <x:v>96</x:v>
      </x:c>
      <x:c r="J99" s="141" t="str">
        <x:v>Completed</x:v>
      </x:c>
      <x:c r="K99" s="141" t="str">
        <x:v>No</x:v>
      </x:c>
      <x:c r="L99" s="173" t="n">
        <x:v>4190</x:v>
      </x:c>
      <x:c r="M99" s="141" t="str">
        <x:v>Sabia Academy</x:v>
      </x:c>
    </x:row>
    <x:row r="100">
      <x:c r="A100" s="141" t="str">
        <x:v>TR-0098</x:v>
      </x:c>
      <x:c r="B100" s="141" t="str">
        <x:v>SG-21024082667</x:v>
      </x:c>
      <x:c r="C100" s="141" t="str">
        <x:v>Q4</x:v>
      </x:c>
      <x:c r="D100" s="141" t="str">
        <x:v>Smartwatch Production</x:v>
      </x:c>
      <x:c r="E100" s="141" t="str">
        <x:v>Bangladesh Labour Law Awareness</x:v>
      </x:c>
      <x:c r="F100" s="141" t="str">
        <x:v>Compliance</x:v>
      </x:c>
      <x:c r="G100" s="171" t="n">
        <x:v>46347</x:v>
      </x:c>
      <x:c r="H100" s="141" t="n">
        <x:v>6</x:v>
      </x:c>
      <x:c r="I100" s="141" t="n">
        <x:v>84</x:v>
      </x:c>
      <x:c r="J100" s="141" t="str">
        <x:v>Completed</x:v>
      </x:c>
      <x:c r="K100" s="141" t="str">
        <x:v>Yes</x:v>
      </x:c>
      <x:c r="L100" s="173" t="n">
        <x:v>2107</x:v>
      </x:c>
      <x:c r="M100" s="141" t="str">
        <x:v>Sabia Academy</x:v>
      </x:c>
    </x:row>
    <x:row r="101">
      <x:c r="A101" s="141" t="str">
        <x:v>TR-0099</x:v>
      </x:c>
      <x:c r="B101" s="141" t="str">
        <x:v>SG-24017102613</x:v>
      </x:c>
      <x:c r="C101" s="141" t="str">
        <x:v>Q4</x:v>
      </x:c>
      <x:c r="D101" s="141" t="str">
        <x:v>Research and Development</x:v>
      </x:c>
      <x:c r="E101" s="141" t="str">
        <x:v>Quality at Source</x:v>
      </x:c>
      <x:c r="F101" s="141" t="str">
        <x:v>Quality</x:v>
      </x:c>
      <x:c r="G101" s="171" t="n">
        <x:v>46331</x:v>
      </x:c>
      <x:c r="H101" s="141" t="n">
        <x:v>8</x:v>
      </x:c>
      <x:c r="I101" s="141" t="n">
        <x:v>91</x:v>
      </x:c>
      <x:c r="J101" s="141" t="str">
        <x:v>Completed</x:v>
      </x:c>
      <x:c r="K101" s="141" t="str">
        <x:v>Yes</x:v>
      </x:c>
      <x:c r="L101" s="173" t="n">
        <x:v>3245</x:v>
      </x:c>
      <x:c r="M101" s="141" t="str">
        <x:v>BUET Industry Partner</x:v>
      </x:c>
    </x:row>
    <x:row r="102">
      <x:c r="A102" s="141" t="str">
        <x:v>TR-0100</x:v>
      </x:c>
      <x:c r="B102" s="141" t="str">
        <x:v>SG-24017102613</x:v>
      </x:c>
      <x:c r="C102" s="141" t="str">
        <x:v>Q4</x:v>
      </x:c>
      <x:c r="D102" s="141" t="str">
        <x:v>Research and Development</x:v>
      </x:c>
      <x:c r="E102" s="141" t="str">
        <x:v>ESD Safety and Handling</x:v>
      </x:c>
      <x:c r="F102" s="141" t="str">
        <x:v>Compliance</x:v>
      </x:c>
      <x:c r="G102" s="171" t="n">
        <x:v>46364</x:v>
      </x:c>
      <x:c r="H102" s="141" t="n">
        <x:v>8</x:v>
      </x:c>
      <x:c r="I102" s="141" t="n">
        <x:v>95</x:v>
      </x:c>
      <x:c r="J102" s="141" t="str">
        <x:v>Completed</x:v>
      </x:c>
      <x:c r="K102" s="141" t="str">
        <x:v>Yes</x:v>
      </x:c>
      <x:c r="L102" s="173" t="n">
        <x:v>3048</x:v>
      </x:c>
      <x:c r="M102" s="141" t="str">
        <x:v>External Consultant</x:v>
      </x:c>
    </x:row>
    <x:row r="103">
      <x:c r="A103" s="141" t="str">
        <x:v>TR-0101</x:v>
      </x:c>
      <x:c r="B103" s="141" t="str">
        <x:v>SG-25007032106</x:v>
      </x:c>
      <x:c r="C103" s="141" t="str">
        <x:v>Q2</x:v>
      </x:c>
      <x:c r="D103" s="141" t="str">
        <x:v>Supply Chain and Planning</x:v>
      </x:c>
      <x:c r="E103" s="141" t="str">
        <x:v>Lean Manufacturing Basics</x:v>
      </x:c>
      <x:c r="F103" s="141" t="str">
        <x:v>Operational Excellence</x:v>
      </x:c>
      <x:c r="G103" s="171" t="n">
        <x:v>46201</x:v>
      </x:c>
      <x:c r="H103" s="141" t="n">
        <x:v>12</x:v>
      </x:c>
      <x:c r="I103" s="141" t="n">
        <x:v>76</x:v>
      </x:c>
      <x:c r="J103" s="141" t="str">
        <x:v>Completed</x:v>
      </x:c>
      <x:c r="K103" s="141" t="str">
        <x:v>No</x:v>
      </x:c>
      <x:c r="L103" s="173" t="n">
        <x:v>1769</x:v>
      </x:c>
      <x:c r="M103" s="141" t="str">
        <x:v>External Consultant</x:v>
      </x:c>
    </x:row>
    <x:row r="104">
      <x:c r="A104" s="141" t="str">
        <x:v>TR-0102</x:v>
      </x:c>
      <x:c r="B104" s="141" t="str">
        <x:v>SG-25007032106</x:v>
      </x:c>
      <x:c r="C104" s="141" t="str">
        <x:v>Q2</x:v>
      </x:c>
      <x:c r="D104" s="141" t="str">
        <x:v>Supply Chain and Planning</x:v>
      </x:c>
      <x:c r="E104" s="141" t="str">
        <x:v>Problem Solving and Root Cause Analysis</x:v>
      </x:c>
      <x:c r="F104" s="141" t="str">
        <x:v>Quality</x:v>
      </x:c>
      <x:c r="G104" s="171" t="n">
        <x:v>46190</x:v>
      </x:c>
      <x:c r="H104" s="141" t="n">
        <x:v>10</x:v>
      </x:c>
      <x:c r="I104" s="141" t="n">
        <x:v>71</x:v>
      </x:c>
      <x:c r="J104" s="141" t="str">
        <x:v>Completed</x:v>
      </x:c>
      <x:c r="K104" s="141" t="str">
        <x:v>No</x:v>
      </x:c>
      <x:c r="L104" s="173" t="n">
        <x:v>2705</x:v>
      </x:c>
      <x:c r="M104" s="141" t="str">
        <x:v>BUET Industry Partner</x:v>
      </x:c>
    </x:row>
    <x:row r="105">
      <x:c r="A105" s="141" t="str">
        <x:v>TR-0103</x:v>
      </x:c>
      <x:c r="B105" s="141" t="str">
        <x:v>SG-25007032106</x:v>
      </x:c>
      <x:c r="C105" s="141" t="str">
        <x:v>Q2</x:v>
      </x:c>
      <x:c r="D105" s="141" t="str">
        <x:v>Supply Chain and Planning</x:v>
      </x:c>
      <x:c r="E105" s="141" t="str">
        <x:v>ESD Safety and Handling</x:v>
      </x:c>
      <x:c r="F105" s="141" t="str">
        <x:v>Compliance</x:v>
      </x:c>
      <x:c r="G105" s="171" t="n">
        <x:v>46198</x:v>
      </x:c>
      <x:c r="H105" s="141" t="n">
        <x:v>8</x:v>
      </x:c>
      <x:c r="I105" s="141" t="n">
        <x:v>85</x:v>
      </x:c>
      <x:c r="J105" s="141" t="str">
        <x:v>Completed</x:v>
      </x:c>
      <x:c r="K105" s="141" t="str">
        <x:v>Yes</x:v>
      </x:c>
      <x:c r="L105" s="173" t="n">
        <x:v>4468</x:v>
      </x:c>
      <x:c r="M105" s="141" t="str">
        <x:v>BUET Industry Partner</x:v>
      </x:c>
    </x:row>
    <x:row r="106">
      <x:c r="A106" s="141" t="str">
        <x:v>TR-0104</x:v>
      </x:c>
      <x:c r="B106" s="141" t="str">
        <x:v>SG-26005072003</x:v>
      </x:c>
      <x:c r="C106" s="141" t="str">
        <x:v>Q3</x:v>
      </x:c>
      <x:c r="D106" s="141" t="str">
        <x:v>Procurement</x:v>
      </x:c>
      <x:c r="E106" s="141" t="str">
        <x:v>Bangladesh Labour Law Awareness</x:v>
      </x:c>
      <x:c r="F106" s="141" t="str">
        <x:v>Compliance</x:v>
      </x:c>
      <x:c r="G106" s="171" t="n">
        <x:v>46265</x:v>
      </x:c>
      <x:c r="H106" s="141" t="n">
        <x:v>6</x:v>
      </x:c>
      <x:c r="I106" s="141" t="n">
        <x:v>77</x:v>
      </x:c>
      <x:c r="J106" s="141" t="str">
        <x:v>Completed</x:v>
      </x:c>
      <x:c r="K106" s="141" t="str">
        <x:v>Yes</x:v>
      </x:c>
      <x:c r="L106" s="173" t="n">
        <x:v>4075</x:v>
      </x:c>
      <x:c r="M106" s="141" t="str">
        <x:v>Internal SME</x:v>
      </x:c>
    </x:row>
    <x:row r="107">
      <x:c r="A107" s="141" t="str">
        <x:v>TR-0105</x:v>
      </x:c>
      <x:c r="B107" s="141" t="str">
        <x:v>SG-26005072003</x:v>
      </x:c>
      <x:c r="C107" s="141" t="str">
        <x:v>Q4</x:v>
      </x:c>
      <x:c r="D107" s="141" t="str">
        <x:v>Procurement</x:v>
      </x:c>
      <x:c r="E107" s="141" t="str">
        <x:v>Problem Solving and Root Cause Analysis</x:v>
      </x:c>
      <x:c r="F107" s="141" t="str">
        <x:v>Quality</x:v>
      </x:c>
      <x:c r="G107" s="171" t="n">
        <x:v>46301</x:v>
      </x:c>
      <x:c r="H107" s="141" t="n">
        <x:v>10</x:v>
      </x:c>
      <x:c r="I107" s="141" t="n">
        <x:v>79</x:v>
      </x:c>
      <x:c r="J107" s="141" t="str">
        <x:v>Completed</x:v>
      </x:c>
      <x:c r="K107" s="141" t="str">
        <x:v>Yes</x:v>
      </x:c>
      <x:c r="L107" s="173" t="n">
        <x:v>3706</x:v>
      </x:c>
      <x:c r="M107" s="141" t="str">
        <x:v>Sabia Academy</x:v>
      </x:c>
    </x:row>
    <x:row r="108">
      <x:c r="A108" s="141" t="str">
        <x:v>TR-0106</x:v>
      </x:c>
      <x:c r="B108" s="141" t="str">
        <x:v>SG-26005072003</x:v>
      </x:c>
      <x:c r="C108" s="141" t="str">
        <x:v>Q2</x:v>
      </x:c>
      <x:c r="D108" s="141" t="str">
        <x:v>Procurement</x:v>
      </x:c>
      <x:c r="E108" s="141" t="str">
        <x:v>Supervisor Essentials</x:v>
      </x:c>
      <x:c r="F108" s="141" t="str">
        <x:v>Leadership</x:v>
      </x:c>
      <x:c r="G108" s="171" t="n">
        <x:v>46139</x:v>
      </x:c>
      <x:c r="H108" s="141" t="n">
        <x:v>12</x:v>
      </x:c>
      <x:c r="I108" s="141" t="n">
        <x:v>58</x:v>
      </x:c>
      <x:c r="J108" s="141" t="str">
        <x:v>In Progress</x:v>
      </x:c>
      <x:c r="K108" s="141" t="str">
        <x:v>No</x:v>
      </x:c>
      <x:c r="L108" s="173" t="n">
        <x:v>3023</x:v>
      </x:c>
      <x:c r="M108" s="141" t="str">
        <x:v>Internal SME</x:v>
      </x:c>
    </x:row>
    <x:row r="109">
      <x:c r="A109" s="141" t="str">
        <x:v>TR-0107</x:v>
      </x:c>
      <x:c r="B109" s="141" t="str">
        <x:v>SG-27005082605</x:v>
      </x:c>
      <x:c r="C109" s="141" t="str">
        <x:v>Q4</x:v>
      </x:c>
      <x:c r="D109" s="141" t="str">
        <x:v>Finance and Accounts</x:v>
      </x:c>
      <x:c r="E109" s="141" t="str">
        <x:v>Problem Solving and Root Cause Analysis</x:v>
      </x:c>
      <x:c r="F109" s="141" t="str">
        <x:v>Quality</x:v>
      </x:c>
      <x:c r="G109" s="171" t="n">
        <x:v>46353</x:v>
      </x:c>
      <x:c r="H109" s="141" t="n">
        <x:v>10</x:v>
      </x:c>
      <x:c r="I109" s="141" t="n">
        <x:v>91</x:v>
      </x:c>
      <x:c r="J109" s="141" t="str">
        <x:v>Completed</x:v>
      </x:c>
      <x:c r="K109" s="141" t="str">
        <x:v>Yes</x:v>
      </x:c>
      <x:c r="L109" s="173" t="n">
        <x:v>2369</x:v>
      </x:c>
      <x:c r="M109" s="141" t="str">
        <x:v>BUET Industry Partner</x:v>
      </x:c>
    </x:row>
    <x:row r="110">
      <x:c r="A110" s="141" t="str">
        <x:v>TR-0108</x:v>
      </x:c>
      <x:c r="B110" s="141" t="str">
        <x:v>SG-27005082605</x:v>
      </x:c>
      <x:c r="C110" s="141" t="str">
        <x:v>Q4</x:v>
      </x:c>
      <x:c r="D110" s="141" t="str">
        <x:v>Finance and Accounts</x:v>
      </x:c>
      <x:c r="E110" s="141" t="str">
        <x:v>Bangladesh Labour Law Awareness</x:v>
      </x:c>
      <x:c r="F110" s="141" t="str">
        <x:v>Compliance</x:v>
      </x:c>
      <x:c r="G110" s="171" t="n">
        <x:v>46309</x:v>
      </x:c>
      <x:c r="H110" s="141" t="n">
        <x:v>6</x:v>
      </x:c>
      <x:c r="I110" s="141" t="n">
        <x:v>81</x:v>
      </x:c>
      <x:c r="J110" s="141" t="str">
        <x:v>Completed</x:v>
      </x:c>
      <x:c r="K110" s="141" t="str">
        <x:v>Yes</x:v>
      </x:c>
      <x:c r="L110" s="173" t="n">
        <x:v>1822</x:v>
      </x:c>
      <x:c r="M110" s="141" t="str">
        <x:v>Sabia Academy</x:v>
      </x:c>
    </x:row>
    <x:row r="111">
      <x:c r="A111" s="141" t="str">
        <x:v>TR-0109</x:v>
      </x:c>
      <x:c r="B111" s="141" t="str">
        <x:v>SG-21015082664</x:v>
      </x:c>
      <x:c r="C111" s="141" t="str">
        <x:v>Q4</x:v>
      </x:c>
      <x:c r="D111" s="141" t="str">
        <x:v>Smartwatch Production</x:v>
      </x:c>
      <x:c r="E111" s="141" t="str">
        <x:v>Embedded Systems Fundamentals</x:v>
      </x:c>
      <x:c r="F111" s="141" t="str">
        <x:v>Technical</x:v>
      </x:c>
      <x:c r="G111" s="171" t="n">
        <x:v>46376</x:v>
      </x:c>
      <x:c r="H111" s="141" t="n">
        <x:v>20</x:v>
      </x:c>
      <x:c r="I111" s="141" t="n">
        <x:v>85</x:v>
      </x:c>
      <x:c r="J111" s="141" t="str">
        <x:v>Completed</x:v>
      </x:c>
      <x:c r="K111" s="141" t="str">
        <x:v>Yes</x:v>
      </x:c>
      <x:c r="L111" s="173" t="n">
        <x:v>2183</x:v>
      </x:c>
      <x:c r="M111" s="141" t="str">
        <x:v>Internal SME</x:v>
      </x:c>
    </x:row>
    <x:row r="112">
      <x:c r="A112" s="141" t="str">
        <x:v>TR-0110</x:v>
      </x:c>
      <x:c r="B112" s="141" t="str">
        <x:v>SG-21015082664</x:v>
      </x:c>
      <x:c r="C112" s="141" t="str">
        <x:v>Q4</x:v>
      </x:c>
      <x:c r="D112" s="141" t="str">
        <x:v>Smartwatch Production</x:v>
      </x:c>
      <x:c r="E112" s="141" t="str">
        <x:v>Supervisor Essentials</x:v>
      </x:c>
      <x:c r="F112" s="141" t="str">
        <x:v>Leadership</x:v>
      </x:c>
      <x:c r="G112" s="171" t="n">
        <x:v>46330</x:v>
      </x:c>
      <x:c r="H112" s="141" t="n">
        <x:v>12</x:v>
      </x:c>
      <x:c r="I112" s="141" t="n">
        <x:v>88</x:v>
      </x:c>
      <x:c r="J112" s="141" t="str">
        <x:v>Completed</x:v>
      </x:c>
      <x:c r="K112" s="141" t="str">
        <x:v>No</x:v>
      </x:c>
      <x:c r="L112" s="173" t="n">
        <x:v>1324</x:v>
      </x:c>
      <x:c r="M112" s="141" t="str">
        <x:v>Sabia Academy</x:v>
      </x:c>
    </x:row>
    <x:row r="113">
      <x:c r="A113" s="141" t="str">
        <x:v>TR-0111</x:v>
      </x:c>
      <x:c r="B113" s="141" t="str">
        <x:v>SG-21015082664</x:v>
      </x:c>
      <x:c r="C113" s="141" t="str">
        <x:v>Q4</x:v>
      </x:c>
      <x:c r="D113" s="141" t="str">
        <x:v>Smartwatch Production</x:v>
      </x:c>
      <x:c r="E113" s="141" t="str">
        <x:v>Quality at Source</x:v>
      </x:c>
      <x:c r="F113" s="141" t="str">
        <x:v>Quality</x:v>
      </x:c>
      <x:c r="G113" s="171" t="n">
        <x:v>46308</x:v>
      </x:c>
      <x:c r="H113" s="141" t="n">
        <x:v>8</x:v>
      </x:c>
      <x:c r="I113" s="141" t="n">
        <x:v>80</x:v>
      </x:c>
      <x:c r="J113" s="141" t="str">
        <x:v>Completed</x:v>
      </x:c>
      <x:c r="K113" s="141" t="str">
        <x:v>Yes</x:v>
      </x:c>
      <x:c r="L113" s="173" t="n">
        <x:v>3261</x:v>
      </x:c>
      <x:c r="M113" s="141" t="str">
        <x:v>Internal SME</x:v>
      </x:c>
    </x:row>
    <x:row r="114">
      <x:c r="A114" s="141" t="str">
        <x:v>TR-0112</x:v>
      </x:c>
      <x:c r="B114" s="141" t="str">
        <x:v>SG-22001072309</x:v>
      </x:c>
      <x:c r="C114" s="141" t="str">
        <x:v>Q3</x:v>
      </x:c>
      <x:c r="D114" s="141" t="str">
        <x:v>Quality Assurance</x:v>
      </x:c>
      <x:c r="E114" s="141" t="str">
        <x:v>Power BI for HR and Operations</x:v>
      </x:c>
      <x:c r="F114" s="141" t="str">
        <x:v>Analytics</x:v>
      </x:c>
      <x:c r="G114" s="171" t="n">
        <x:v>46234</x:v>
      </x:c>
      <x:c r="H114" s="141" t="n">
        <x:v>12</x:v>
      </x:c>
      <x:c r="I114" s="141" t="n">
        <x:v>91</x:v>
      </x:c>
      <x:c r="J114" s="141" t="str">
        <x:v>Completed</x:v>
      </x:c>
      <x:c r="K114" s="141" t="str">
        <x:v>No</x:v>
      </x:c>
      <x:c r="L114" s="173" t="n">
        <x:v>2761</x:v>
      </x:c>
      <x:c r="M114" s="141" t="str">
        <x:v>Sabia Academy</x:v>
      </x:c>
    </x:row>
    <x:row r="115">
      <x:c r="A115" s="141" t="str">
        <x:v>TR-0113</x:v>
      </x:c>
      <x:c r="B115" s="141" t="str">
        <x:v>SG-23026102106</x:v>
      </x:c>
      <x:c r="C115" s="141" t="str">
        <x:v>Q3</x:v>
      </x:c>
      <x:c r="D115" s="141" t="str">
        <x:v>Engineering and Maintenance</x:v>
      </x:c>
      <x:c r="E115" s="141" t="str">
        <x:v>Embedded Systems Fundamentals</x:v>
      </x:c>
      <x:c r="F115" s="141" t="str">
        <x:v>Technical</x:v>
      </x:c>
      <x:c r="G115" s="171" t="n">
        <x:v>46212</x:v>
      </x:c>
      <x:c r="H115" s="141" t="n">
        <x:v>20</x:v>
      </x:c>
      <x:c r="I115" s="141" t="n">
        <x:v>76</x:v>
      </x:c>
      <x:c r="J115" s="141" t="str">
        <x:v>Completed</x:v>
      </x:c>
      <x:c r="K115" s="141" t="str">
        <x:v>Yes</x:v>
      </x:c>
      <x:c r="L115" s="173" t="n">
        <x:v>4402</x:v>
      </x:c>
      <x:c r="M115" s="141" t="str">
        <x:v>Internal SME</x:v>
      </x:c>
    </x:row>
    <x:row r="116">
      <x:c r="A116" s="141" t="str">
        <x:v>TR-0114</x:v>
      </x:c>
      <x:c r="B116" s="141" t="str">
        <x:v>SG-23026102106</x:v>
      </x:c>
      <x:c r="C116" s="141" t="str">
        <x:v>Q2</x:v>
      </x:c>
      <x:c r="D116" s="141" t="str">
        <x:v>Engineering and Maintenance</x:v>
      </x:c>
      <x:c r="E116" s="141" t="str">
        <x:v>Lean Manufacturing Basics</x:v>
      </x:c>
      <x:c r="F116" s="141" t="str">
        <x:v>Operational Excellence</x:v>
      </x:c>
      <x:c r="G116" s="171" t="n">
        <x:v>46124</x:v>
      </x:c>
      <x:c r="H116" s="141" t="n">
        <x:v>12</x:v>
      </x:c>
      <x:c r="I116" s="141" t="n">
        <x:v>88</x:v>
      </x:c>
      <x:c r="J116" s="141" t="str">
        <x:v>Completed</x:v>
      </x:c>
      <x:c r="K116" s="141" t="str">
        <x:v>No</x:v>
      </x:c>
      <x:c r="L116" s="173" t="n">
        <x:v>1631</x:v>
      </x:c>
      <x:c r="M116" s="141" t="str">
        <x:v>External Consultant</x:v>
      </x:c>
    </x:row>
    <x:row r="117">
      <x:c r="A117" s="141" t="str">
        <x:v>TR-0115</x:v>
      </x:c>
      <x:c r="B117" s="141" t="str">
        <x:v>SG-22027062611</x:v>
      </x:c>
      <x:c r="C117" s="141" t="str">
        <x:v>Q3</x:v>
      </x:c>
      <x:c r="D117" s="141" t="str">
        <x:v>Quality Assurance</x:v>
      </x:c>
      <x:c r="E117" s="141" t="str">
        <x:v>HRIS Employee Self Service</x:v>
      </x:c>
      <x:c r="F117" s="141" t="str">
        <x:v>Digital</x:v>
      </x:c>
      <x:c r="G117" s="171" t="n">
        <x:v>46210</x:v>
      </x:c>
      <x:c r="H117" s="141" t="n">
        <x:v>4</x:v>
      </x:c>
      <x:c r="I117" s="141" t="n">
        <x:v>70</x:v>
      </x:c>
      <x:c r="J117" s="141" t="str">
        <x:v>Completed</x:v>
      </x:c>
      <x:c r="K117" s="141" t="str">
        <x:v>No</x:v>
      </x:c>
      <x:c r="L117" s="173" t="n">
        <x:v>3732</x:v>
      </x:c>
      <x:c r="M117" s="141" t="str">
        <x:v>Sabia Academy</x:v>
      </x:c>
    </x:row>
    <x:row r="118">
      <x:c r="A118" s="141" t="str">
        <x:v>TR-0116</x:v>
      </x:c>
      <x:c r="B118" s="141" t="str">
        <x:v>SG-21015012328</x:v>
      </x:c>
      <x:c r="C118" s="141" t="str">
        <x:v>Q2</x:v>
      </x:c>
      <x:c r="D118" s="141" t="str">
        <x:v>Smartwatch Production</x:v>
      </x:c>
      <x:c r="E118" s="141" t="str">
        <x:v>HRIS Employee Self Service</x:v>
      </x:c>
      <x:c r="F118" s="141" t="str">
        <x:v>Digital</x:v>
      </x:c>
      <x:c r="G118" s="171" t="n">
        <x:v>46181</x:v>
      </x:c>
      <x:c r="H118" s="141" t="n">
        <x:v>4</x:v>
      </x:c>
      <x:c r="I118" s="141" t="n">
        <x:v>89</x:v>
      </x:c>
      <x:c r="J118" s="141" t="str">
        <x:v>Completed</x:v>
      </x:c>
      <x:c r="K118" s="141" t="str">
        <x:v>No</x:v>
      </x:c>
      <x:c r="L118" s="173" t="n">
        <x:v>1254</x:v>
      </x:c>
      <x:c r="M118" s="141" t="str">
        <x:v>External Consultant</x:v>
      </x:c>
    </x:row>
    <x:row r="119">
      <x:c r="A119" s="141" t="str">
        <x:v>TR-0117</x:v>
      </x:c>
      <x:c r="B119" s="141" t="str">
        <x:v>SG-22029112619</x:v>
      </x:c>
      <x:c r="C119" s="141" t="str">
        <x:v>Q4</x:v>
      </x:c>
      <x:c r="D119" s="141" t="str">
        <x:v>Quality Assurance</x:v>
      </x:c>
      <x:c r="E119" s="141" t="str">
        <x:v>Quality at Source</x:v>
      </x:c>
      <x:c r="F119" s="141" t="str">
        <x:v>Quality</x:v>
      </x:c>
      <x:c r="G119" s="171" t="n">
        <x:v>46364</x:v>
      </x:c>
      <x:c r="H119" s="141" t="n">
        <x:v>8</x:v>
      </x:c>
      <x:c r="I119" s="141" t="n">
        <x:v>87</x:v>
      </x:c>
      <x:c r="J119" s="141" t="str">
        <x:v>Completed</x:v>
      </x:c>
      <x:c r="K119" s="141" t="str">
        <x:v>Yes</x:v>
      </x:c>
      <x:c r="L119" s="173" t="n">
        <x:v>3554</x:v>
      </x:c>
      <x:c r="M119" s="141" t="str">
        <x:v>Internal SME</x:v>
      </x:c>
    </x:row>
    <x:row r="120">
      <x:c r="A120" s="141" t="str">
        <x:v>TR-0118</x:v>
      </x:c>
      <x:c r="B120" s="141" t="str">
        <x:v>SG-24025082610</x:v>
      </x:c>
      <x:c r="C120" s="141" t="str">
        <x:v>Q4</x:v>
      </x:c>
      <x:c r="D120" s="141" t="str">
        <x:v>Research and Development</x:v>
      </x:c>
      <x:c r="E120" s="141" t="str">
        <x:v>Quality at Source</x:v>
      </x:c>
      <x:c r="F120" s="141" t="str">
        <x:v>Quality</x:v>
      </x:c>
      <x:c r="G120" s="171" t="n">
        <x:v>46340</x:v>
      </x:c>
      <x:c r="H120" s="141" t="n">
        <x:v>8</x:v>
      </x:c>
      <x:c r="I120" s="141" t="n">
        <x:v>86</x:v>
      </x:c>
      <x:c r="J120" s="141" t="str">
        <x:v>Completed</x:v>
      </x:c>
      <x:c r="K120" s="141" t="str">
        <x:v>Yes</x:v>
      </x:c>
      <x:c r="L120" s="173" t="n">
        <x:v>1976</x:v>
      </x:c>
      <x:c r="M120" s="141" t="str">
        <x:v>BUET Industry Partner</x:v>
      </x:c>
    </x:row>
    <x:row r="121">
      <x:c r="A121" s="141" t="str">
        <x:v>TR-0119</x:v>
      </x:c>
      <x:c r="B121" s="141" t="str">
        <x:v>SG-24025082610</x:v>
      </x:c>
      <x:c r="C121" s="141" t="str">
        <x:v>Q4</x:v>
      </x:c>
      <x:c r="D121" s="141" t="str">
        <x:v>Research and Development</x:v>
      </x:c>
      <x:c r="E121" s="141" t="str">
        <x:v>ESD Safety and Handling</x:v>
      </x:c>
      <x:c r="F121" s="141" t="str">
        <x:v>Compliance</x:v>
      </x:c>
      <x:c r="G121" s="171" t="n">
        <x:v>46312</x:v>
      </x:c>
      <x:c r="H121" s="141" t="n">
        <x:v>8</x:v>
      </x:c>
      <x:c r="I121" s="141" t="n">
        <x:v>88</x:v>
      </x:c>
      <x:c r="J121" s="141" t="str">
        <x:v>Completed</x:v>
      </x:c>
      <x:c r="K121" s="141" t="str">
        <x:v>Yes</x:v>
      </x:c>
      <x:c r="L121" s="173" t="n">
        <x:v>1469</x:v>
      </x:c>
      <x:c r="M121" s="141" t="str">
        <x:v>Internal SME</x:v>
      </x:c>
    </x:row>
    <x:row r="122">
      <x:c r="A122" s="141" t="str">
        <x:v>TR-0120</x:v>
      </x:c>
      <x:c r="B122" s="141" t="str">
        <x:v>SG-28031082608</x:v>
      </x:c>
      <x:c r="C122" s="141" t="str">
        <x:v>Q4</x:v>
      </x:c>
      <x:c r="D122" s="141" t="str">
        <x:v>IT Data and HRIS</x:v>
      </x:c>
      <x:c r="E122" s="141" t="str">
        <x:v>HRIS Employee Self Service</x:v>
      </x:c>
      <x:c r="F122" s="141" t="str">
        <x:v>Digital</x:v>
      </x:c>
      <x:c r="G122" s="171" t="n">
        <x:v>46376</x:v>
      </x:c>
      <x:c r="H122" s="141" t="n">
        <x:v>4</x:v>
      </x:c>
      <x:c r="I122" s="141" t="n">
        <x:v>81</x:v>
      </x:c>
      <x:c r="J122" s="141" t="str">
        <x:v>Completed</x:v>
      </x:c>
      <x:c r="K122" s="141" t="str">
        <x:v>No</x:v>
      </x:c>
      <x:c r="L122" s="173" t="n">
        <x:v>3045</x:v>
      </x:c>
      <x:c r="M122" s="141" t="str">
        <x:v>BUET Industry Partner</x:v>
      </x:c>
    </x:row>
    <x:row r="123">
      <x:c r="A123" s="141" t="str">
        <x:v>TR-0121</x:v>
      </x:c>
      <x:c r="B123" s="141" t="str">
        <x:v>SG-25008092608</x:v>
      </x:c>
      <x:c r="C123" s="141" t="str">
        <x:v>Q4</x:v>
      </x:c>
      <x:c r="D123" s="141" t="str">
        <x:v>Supply Chain and Planning</x:v>
      </x:c>
      <x:c r="E123" s="141" t="str">
        <x:v>Supervisor Essentials</x:v>
      </x:c>
      <x:c r="F123" s="141" t="str">
        <x:v>Leadership</x:v>
      </x:c>
      <x:c r="G123" s="171" t="n">
        <x:v>46301</x:v>
      </x:c>
      <x:c r="H123" s="141" t="n">
        <x:v>12</x:v>
      </x:c>
      <x:c r="I123" s="141" t="n">
        <x:v>100</x:v>
      </x:c>
      <x:c r="J123" s="141" t="str">
        <x:v>Completed</x:v>
      </x:c>
      <x:c r="K123" s="141" t="str">
        <x:v>No</x:v>
      </x:c>
      <x:c r="L123" s="173" t="n">
        <x:v>3186</x:v>
      </x:c>
      <x:c r="M123" s="141" t="str">
        <x:v>Internal SME</x:v>
      </x:c>
    </x:row>
    <x:row r="124">
      <x:c r="A124" s="141" t="str">
        <x:v>TR-0122</x:v>
      </x:c>
      <x:c r="B124" s="141" t="str">
        <x:v>SG-25008092608</x:v>
      </x:c>
      <x:c r="C124" s="141" t="str">
        <x:v>Q3</x:v>
      </x:c>
      <x:c r="D124" s="141" t="str">
        <x:v>Supply Chain and Planning</x:v>
      </x:c>
      <x:c r="E124" s="141" t="str">
        <x:v>HRIS Employee Self Service</x:v>
      </x:c>
      <x:c r="F124" s="141" t="str">
        <x:v>Digital</x:v>
      </x:c>
      <x:c r="G124" s="171" t="n">
        <x:v>46281</x:v>
      </x:c>
      <x:c r="H124" s="141" t="n">
        <x:v>4</x:v>
      </x:c>
      <x:c r="I124" s="141" t="n">
        <x:v>79</x:v>
      </x:c>
      <x:c r="J124" s="141" t="str">
        <x:v>Completed</x:v>
      </x:c>
      <x:c r="K124" s="141" t="str">
        <x:v>No</x:v>
      </x:c>
      <x:c r="L124" s="173" t="n">
        <x:v>3297</x:v>
      </x:c>
      <x:c r="M124" s="141" t="str">
        <x:v>Internal SME</x:v>
      </x:c>
    </x:row>
    <x:row r="125">
      <x:c r="A125" s="141" t="str">
        <x:v>TR-0123</x:v>
      </x:c>
      <x:c r="B125" s="141" t="str">
        <x:v>SG-25008092608</x:v>
      </x:c>
      <x:c r="C125" s="141" t="str">
        <x:v>Q4</x:v>
      </x:c>
      <x:c r="D125" s="141" t="str">
        <x:v>Supply Chain and Planning</x:v>
      </x:c>
      <x:c r="E125" s="141" t="str">
        <x:v>Bangladesh Labour Law Awareness</x:v>
      </x:c>
      <x:c r="F125" s="141" t="str">
        <x:v>Compliance</x:v>
      </x:c>
      <x:c r="G125" s="171" t="n">
        <x:v>46331</x:v>
      </x:c>
      <x:c r="H125" s="141" t="n">
        <x:v>6</x:v>
      </x:c>
      <x:c r="I125" s="141" t="n">
        <x:v>76</x:v>
      </x:c>
      <x:c r="J125" s="141" t="str">
        <x:v>Completed</x:v>
      </x:c>
      <x:c r="K125" s="141" t="str">
        <x:v>Yes</x:v>
      </x:c>
      <x:c r="L125" s="173" t="n">
        <x:v>4108</x:v>
      </x:c>
      <x:c r="M125" s="141" t="str">
        <x:v>BUET Industry Partner</x:v>
      </x:c>
    </x:row>
    <x:row r="126">
      <x:c r="A126" s="141" t="str">
        <x:v>TR-0124</x:v>
      </x:c>
      <x:c r="B126" s="141" t="str">
        <x:v>SG-12705012605</x:v>
      </x:c>
      <x:c r="C126" s="141" t="str">
        <x:v>Q2</x:v>
      </x:c>
      <x:c r="D126" s="141" t="str">
        <x:v>Human Resources and People</x:v>
      </x:c>
      <x:c r="E126" s="141" t="str">
        <x:v>Quality at Source</x:v>
      </x:c>
      <x:c r="F126" s="141" t="str">
        <x:v>Quality</x:v>
      </x:c>
      <x:c r="G126" s="171" t="n">
        <x:v>46138</x:v>
      </x:c>
      <x:c r="H126" s="141" t="n">
        <x:v>8</x:v>
      </x:c>
      <x:c r="I126" s="141" t="n">
        <x:v>91</x:v>
      </x:c>
      <x:c r="J126" s="141" t="str">
        <x:v>Completed</x:v>
      </x:c>
      <x:c r="K126" s="141" t="str">
        <x:v>Yes</x:v>
      </x:c>
      <x:c r="L126" s="173" t="n">
        <x:v>3529</x:v>
      </x:c>
      <x:c r="M126" s="141" t="str">
        <x:v>External Consultant</x:v>
      </x:c>
    </x:row>
    <x:row r="127">
      <x:c r="A127" s="141" t="str">
        <x:v>TR-0125</x:v>
      </x:c>
      <x:c r="B127" s="141" t="str">
        <x:v>SG-12705012605</x:v>
      </x:c>
      <x:c r="C127" s="141" t="str">
        <x:v>Q2</x:v>
      </x:c>
      <x:c r="D127" s="141" t="str">
        <x:v>Human Resources and People</x:v>
      </x:c>
      <x:c r="E127" s="141" t="str">
        <x:v>ESD Safety and Handling</x:v>
      </x:c>
      <x:c r="F127" s="141" t="str">
        <x:v>Compliance</x:v>
      </x:c>
      <x:c r="G127" s="171" t="n">
        <x:v>46156</x:v>
      </x:c>
      <x:c r="H127" s="141" t="n">
        <x:v>8</x:v>
      </x:c>
      <x:c r="I127" s="141" t="n">
        <x:v>72</x:v>
      </x:c>
      <x:c r="J127" s="141" t="str">
        <x:v>Completed</x:v>
      </x:c>
      <x:c r="K127" s="141" t="str">
        <x:v>No</x:v>
      </x:c>
      <x:c r="L127" s="173" t="n">
        <x:v>3236</x:v>
      </x:c>
      <x:c r="M127" s="141" t="str">
        <x:v>BUET Industry Partner</x:v>
      </x:c>
    </x:row>
    <x:row r="128">
      <x:c r="A128" s="141" t="str">
        <x:v>TR-0126</x:v>
      </x:c>
      <x:c r="B128" s="141" t="str">
        <x:v>SG-21003092659</x:v>
      </x:c>
      <x:c r="C128" s="141" t="str">
        <x:v>Q3</x:v>
      </x:c>
      <x:c r="D128" s="141" t="str">
        <x:v>Smartwatch Production</x:v>
      </x:c>
      <x:c r="E128" s="141" t="str">
        <x:v>Embedded Systems Fundamentals</x:v>
      </x:c>
      <x:c r="F128" s="141" t="str">
        <x:v>Technical</x:v>
      </x:c>
      <x:c r="G128" s="171" t="n">
        <x:v>46295</x:v>
      </x:c>
      <x:c r="H128" s="141" t="n">
        <x:v>20</x:v>
      </x:c>
      <x:c r="I128" s="141" t="n">
        <x:v>71</x:v>
      </x:c>
      <x:c r="J128" s="141" t="str">
        <x:v>Completed</x:v>
      </x:c>
      <x:c r="K128" s="141" t="str">
        <x:v>No</x:v>
      </x:c>
      <x:c r="L128" s="173" t="n">
        <x:v>3117</x:v>
      </x:c>
      <x:c r="M128" s="141" t="str">
        <x:v>Internal SME</x:v>
      </x:c>
    </x:row>
    <x:row r="129">
      <x:c r="A129" s="141" t="str">
        <x:v>TR-0127</x:v>
      </x:c>
      <x:c r="B129" s="141" t="str">
        <x:v>SG-21003092659</x:v>
      </x:c>
      <x:c r="C129" s="141" t="str">
        <x:v>Q4</x:v>
      </x:c>
      <x:c r="D129" s="141" t="str">
        <x:v>Smartwatch Production</x:v>
      </x:c>
      <x:c r="E129" s="141" t="str">
        <x:v>Quality at Source</x:v>
      </x:c>
      <x:c r="F129" s="141" t="str">
        <x:v>Quality</x:v>
      </x:c>
      <x:c r="G129" s="171" t="n">
        <x:v>46365</x:v>
      </x:c>
      <x:c r="H129" s="141" t="n">
        <x:v>8</x:v>
      </x:c>
      <x:c r="I129" s="141" t="n">
        <x:v>68</x:v>
      </x:c>
      <x:c r="J129" s="141" t="str">
        <x:v>Completed</x:v>
      </x:c>
      <x:c r="K129" s="141" t="str">
        <x:v>No</x:v>
      </x:c>
      <x:c r="L129" s="173" t="n">
        <x:v>4014</x:v>
      </x:c>
      <x:c r="M129" s="141" t="str">
        <x:v>External Consultant</x:v>
      </x:c>
    </x:row>
    <x:row r="130">
      <x:c r="A130" s="141" t="str">
        <x:v>TR-0128</x:v>
      </x:c>
      <x:c r="B130" s="141" t="str">
        <x:v>SG-29013102608</x:v>
      </x:c>
      <x:c r="C130" s="141" t="str">
        <x:v>Q4</x:v>
      </x:c>
      <x:c r="D130" s="141" t="str">
        <x:v>Sales Distribution and Service</x:v>
      </x:c>
      <x:c r="E130" s="141" t="str">
        <x:v>Bangladesh Labour Law Awareness</x:v>
      </x:c>
      <x:c r="F130" s="141" t="str">
        <x:v>Compliance</x:v>
      </x:c>
      <x:c r="G130" s="171" t="n">
        <x:v>46362</x:v>
      </x:c>
      <x:c r="H130" s="141" t="n">
        <x:v>6</x:v>
      </x:c>
      <x:c r="I130" s="141" t="n">
        <x:v>84</x:v>
      </x:c>
      <x:c r="J130" s="141" t="str">
        <x:v>Completed</x:v>
      </x:c>
      <x:c r="K130" s="141" t="str">
        <x:v>Yes</x:v>
      </x:c>
      <x:c r="L130" s="173" t="n">
        <x:v>2171</x:v>
      </x:c>
      <x:c r="M130" s="141" t="str">
        <x:v>Internal SME</x:v>
      </x:c>
    </x:row>
    <x:row r="131">
      <x:c r="A131" s="141" t="str">
        <x:v>TR-0129</x:v>
      </x:c>
      <x:c r="B131" s="141" t="str">
        <x:v>SG-29013102608</x:v>
      </x:c>
      <x:c r="C131" s="141" t="str">
        <x:v>Q4</x:v>
      </x:c>
      <x:c r="D131" s="141" t="str">
        <x:v>Sales Distribution and Service</x:v>
      </x:c>
      <x:c r="E131" s="141" t="str">
        <x:v>Quality at Source</x:v>
      </x:c>
      <x:c r="F131" s="141" t="str">
        <x:v>Quality</x:v>
      </x:c>
      <x:c r="G131" s="171" t="n">
        <x:v>46334</x:v>
      </x:c>
      <x:c r="H131" s="141" t="n">
        <x:v>8</x:v>
      </x:c>
      <x:c r="I131" s="141" t="n">
        <x:v>100</x:v>
      </x:c>
      <x:c r="J131" s="141" t="str">
        <x:v>Completed</x:v>
      </x:c>
      <x:c r="K131" s="141" t="str">
        <x:v>Yes</x:v>
      </x:c>
      <x:c r="L131" s="173" t="n">
        <x:v>3401</x:v>
      </x:c>
      <x:c r="M131" s="141" t="str">
        <x:v>BUET Industry Partner</x:v>
      </x:c>
    </x:row>
    <x:row r="132">
      <x:c r="A132" s="141" t="str">
        <x:v>TR-0130</x:v>
      </x:c>
      <x:c r="B132" s="141" t="str">
        <x:v>SG-29013102608</x:v>
      </x:c>
      <x:c r="C132" s="141" t="str">
        <x:v>Q4</x:v>
      </x:c>
      <x:c r="D132" s="141" t="str">
        <x:v>Sales Distribution and Service</x:v>
      </x:c>
      <x:c r="E132" s="141" t="str">
        <x:v>Problem Solving and Root Cause Analysis</x:v>
      </x:c>
      <x:c r="F132" s="141" t="str">
        <x:v>Quality</x:v>
      </x:c>
      <x:c r="G132" s="171" t="n">
        <x:v>46324</x:v>
      </x:c>
      <x:c r="H132" s="141" t="n">
        <x:v>10</x:v>
      </x:c>
      <x:c r="I132" s="141" t="n">
        <x:v>99</x:v>
      </x:c>
      <x:c r="J132" s="141" t="str">
        <x:v>Completed</x:v>
      </x:c>
      <x:c r="K132" s="141" t="str">
        <x:v>Yes</x:v>
      </x:c>
      <x:c r="L132" s="173" t="n">
        <x:v>3682</x:v>
      </x:c>
      <x:c r="M132" s="141" t="str">
        <x:v>Sabia Academy</x:v>
      </x:c>
    </x:row>
    <x:row r="133">
      <x:c r="A133" s="141" t="str">
        <x:v>TR-0131</x:v>
      </x:c>
      <x:c r="B133" s="141" t="str">
        <x:v>SG-24005052608</x:v>
      </x:c>
      <x:c r="C133" s="141" t="str">
        <x:v>Q3</x:v>
      </x:c>
      <x:c r="D133" s="141" t="str">
        <x:v>Research and Development</x:v>
      </x:c>
      <x:c r="E133" s="141" t="str">
        <x:v>Supervisor Essentials</x:v>
      </x:c>
      <x:c r="F133" s="141" t="str">
        <x:v>Leadership</x:v>
      </x:c>
      <x:c r="G133" s="171" t="n">
        <x:v>46237</x:v>
      </x:c>
      <x:c r="H133" s="141" t="n">
        <x:v>12</x:v>
      </x:c>
      <x:c r="I133" s="141" t="n">
        <x:v>75</x:v>
      </x:c>
      <x:c r="J133" s="141" t="str">
        <x:v>Completed</x:v>
      </x:c>
      <x:c r="K133" s="141" t="str">
        <x:v>No</x:v>
      </x:c>
      <x:c r="L133" s="173" t="n">
        <x:v>1352</x:v>
      </x:c>
      <x:c r="M133" s="141" t="str">
        <x:v>External Consultant</x:v>
      </x:c>
    </x:row>
    <x:row r="134">
      <x:c r="A134" s="141" t="str">
        <x:v>TR-0132</x:v>
      </x:c>
      <x:c r="B134" s="141" t="str">
        <x:v>SG-24005052608</x:v>
      </x:c>
      <x:c r="C134" s="141" t="str">
        <x:v>Q3</x:v>
      </x:c>
      <x:c r="D134" s="141" t="str">
        <x:v>Research and Development</x:v>
      </x:c>
      <x:c r="E134" s="141" t="str">
        <x:v>Embedded Systems Fundamentals</x:v>
      </x:c>
      <x:c r="F134" s="141" t="str">
        <x:v>Technical</x:v>
      </x:c>
      <x:c r="G134" s="171" t="n">
        <x:v>46271</x:v>
      </x:c>
      <x:c r="H134" s="141" t="n">
        <x:v>20</x:v>
      </x:c>
      <x:c r="I134" s="141" t="n">
        <x:v>78</x:v>
      </x:c>
      <x:c r="J134" s="141" t="str">
        <x:v>Completed</x:v>
      </x:c>
      <x:c r="K134" s="141" t="str">
        <x:v>Yes</x:v>
      </x:c>
      <x:c r="L134" s="173" t="n">
        <x:v>3692</x:v>
      </x:c>
      <x:c r="M134" s="141" t="str">
        <x:v>Sabia Academy</x:v>
      </x:c>
    </x:row>
    <x:row r="135">
      <x:c r="A135" s="141" t="str">
        <x:v>TR-0133</x:v>
      </x:c>
      <x:c r="B135" s="141" t="str">
        <x:v>SG-21011102668</x:v>
      </x:c>
      <x:c r="C135" s="141" t="str">
        <x:v>Q4</x:v>
      </x:c>
      <x:c r="D135" s="141" t="str">
        <x:v>Smartwatch Production</x:v>
      </x:c>
      <x:c r="E135" s="141" t="str">
        <x:v>Problem Solving and Root Cause Analysis</x:v>
      </x:c>
      <x:c r="F135" s="141" t="str">
        <x:v>Quality</x:v>
      </x:c>
      <x:c r="G135" s="171" t="n">
        <x:v>46317</x:v>
      </x:c>
      <x:c r="H135" s="141" t="n">
        <x:v>10</x:v>
      </x:c>
      <x:c r="I135" s="141" t="n">
        <x:v>100</x:v>
      </x:c>
      <x:c r="J135" s="141" t="str">
        <x:v>Completed</x:v>
      </x:c>
      <x:c r="K135" s="141" t="str">
        <x:v>Yes</x:v>
      </x:c>
      <x:c r="L135" s="173" t="n">
        <x:v>3944</x:v>
      </x:c>
      <x:c r="M135" s="141" t="str">
        <x:v>External Consultant</x:v>
      </x:c>
    </x:row>
    <x:row r="136">
      <x:c r="A136" s="141" t="str">
        <x:v>TR-0134</x:v>
      </x:c>
      <x:c r="B136" s="141" t="str">
        <x:v>SG-21011102668</x:v>
      </x:c>
      <x:c r="C136" s="141" t="str">
        <x:v>Q4</x:v>
      </x:c>
      <x:c r="D136" s="141" t="str">
        <x:v>Smartwatch Production</x:v>
      </x:c>
      <x:c r="E136" s="141" t="str">
        <x:v>Power BI for HR and Operations</x:v>
      </x:c>
      <x:c r="F136" s="141" t="str">
        <x:v>Analytics</x:v>
      </x:c>
      <x:c r="G136" s="171" t="n">
        <x:v>46320</x:v>
      </x:c>
      <x:c r="H136" s="141" t="n">
        <x:v>12</x:v>
      </x:c>
      <x:c r="I136" s="141" t="n">
        <x:v>64</x:v>
      </x:c>
      <x:c r="J136" s="141" t="str">
        <x:v>Completed</x:v>
      </x:c>
      <x:c r="K136" s="141" t="str">
        <x:v>No</x:v>
      </x:c>
      <x:c r="L136" s="173" t="n">
        <x:v>1365</x:v>
      </x:c>
      <x:c r="M136" s="141" t="str">
        <x:v>Sabia Academy</x:v>
      </x:c>
    </x:row>
    <x:row r="137">
      <x:c r="A137" s="141" t="str">
        <x:v>TR-0135</x:v>
      </x:c>
      <x:c r="B137" s="141" t="str">
        <x:v>SG-21014032139</x:v>
      </x:c>
      <x:c r="C137" s="141" t="str">
        <x:v>Q4</x:v>
      </x:c>
      <x:c r="D137" s="141" t="str">
        <x:v>Smartwatch Production</x:v>
      </x:c>
      <x:c r="E137" s="141" t="str">
        <x:v>Precision Assembly Certification</x:v>
      </x:c>
      <x:c r="F137" s="141" t="str">
        <x:v>Technical</x:v>
      </x:c>
      <x:c r="G137" s="171" t="n">
        <x:v>46296</x:v>
      </x:c>
      <x:c r="H137" s="141" t="n">
        <x:v>16</x:v>
      </x:c>
      <x:c r="I137" s="141" t="n">
        <x:v>84</x:v>
      </x:c>
      <x:c r="J137" s="141" t="str">
        <x:v>Completed</x:v>
      </x:c>
      <x:c r="K137" s="141" t="str">
        <x:v>Yes</x:v>
      </x:c>
      <x:c r="L137" s="173" t="n">
        <x:v>4352</x:v>
      </x:c>
      <x:c r="M137" s="141" t="str">
        <x:v>BUET Industry Partner</x:v>
      </x:c>
    </x:row>
    <x:row r="138">
      <x:c r="A138" s="141" t="str">
        <x:v>TR-0136</x:v>
      </x:c>
      <x:c r="B138" s="141" t="str">
        <x:v>SG-21014032139</x:v>
      </x:c>
      <x:c r="C138" s="141" t="str">
        <x:v>Q3</x:v>
      </x:c>
      <x:c r="D138" s="141" t="str">
        <x:v>Smartwatch Production</x:v>
      </x:c>
      <x:c r="E138" s="141" t="str">
        <x:v>Bangladesh Labour Law Awareness</x:v>
      </x:c>
      <x:c r="F138" s="141" t="str">
        <x:v>Compliance</x:v>
      </x:c>
      <x:c r="G138" s="171" t="n">
        <x:v>46295</x:v>
      </x:c>
      <x:c r="H138" s="141" t="n">
        <x:v>6</x:v>
      </x:c>
      <x:c r="I138" s="141" t="n">
        <x:v>98</x:v>
      </x:c>
      <x:c r="J138" s="141" t="str">
        <x:v>Completed</x:v>
      </x:c>
      <x:c r="K138" s="141" t="str">
        <x:v>Yes</x:v>
      </x:c>
      <x:c r="L138" s="173" t="n">
        <x:v>1270</x:v>
      </x:c>
      <x:c r="M138" s="141" t="str">
        <x:v>BUET Industry Partner</x:v>
      </x:c>
    </x:row>
    <x:row r="139">
      <x:c r="A139" s="141" t="str">
        <x:v>TR-0137</x:v>
      </x:c>
      <x:c r="B139" s="141" t="str">
        <x:v>SG-21014032139</x:v>
      </x:c>
      <x:c r="C139" s="141" t="str">
        <x:v>Q3</x:v>
      </x:c>
      <x:c r="D139" s="141" t="str">
        <x:v>Smartwatch Production</x:v>
      </x:c>
      <x:c r="E139" s="141" t="str">
        <x:v>HRIS Employee Self Service</x:v>
      </x:c>
      <x:c r="F139" s="141" t="str">
        <x:v>Digital</x:v>
      </x:c>
      <x:c r="G139" s="171" t="n">
        <x:v>46270</x:v>
      </x:c>
      <x:c r="H139" s="141" t="n">
        <x:v>4</x:v>
      </x:c>
      <x:c r="I139" s="141" t="n">
        <x:v>75</x:v>
      </x:c>
      <x:c r="J139" s="141" t="str">
        <x:v>Completed</x:v>
      </x:c>
      <x:c r="K139" s="141" t="str">
        <x:v>No</x:v>
      </x:c>
      <x:c r="L139" s="173" t="n">
        <x:v>3265</x:v>
      </x:c>
      <x:c r="M139" s="141" t="str">
        <x:v>Sabia Academy</x:v>
      </x:c>
    </x:row>
    <x:row r="140">
      <x:c r="A140" s="141" t="str">
        <x:v>TR-0138</x:v>
      </x:c>
      <x:c r="B140" s="141" t="str">
        <x:v>SG-28025112609</x:v>
      </x:c>
      <x:c r="C140" s="141" t="str">
        <x:v>Q4</x:v>
      </x:c>
      <x:c r="D140" s="141" t="str">
        <x:v>IT Data and HRIS</x:v>
      </x:c>
      <x:c r="E140" s="141" t="str">
        <x:v>Precision Assembly Certification</x:v>
      </x:c>
      <x:c r="F140" s="141" t="str">
        <x:v>Technical</x:v>
      </x:c>
      <x:c r="G140" s="171" t="n">
        <x:v>46366</x:v>
      </x:c>
      <x:c r="H140" s="141" t="n">
        <x:v>16</x:v>
      </x:c>
      <x:c r="I140" s="141" t="n">
        <x:v>77</x:v>
      </x:c>
      <x:c r="J140" s="141" t="str">
        <x:v>Completed</x:v>
      </x:c>
      <x:c r="K140" s="141" t="str">
        <x:v>Yes</x:v>
      </x:c>
      <x:c r="L140" s="173" t="n">
        <x:v>4765</x:v>
      </x:c>
      <x:c r="M140" s="141" t="str">
        <x:v>External Consultant</x:v>
      </x:c>
    </x:row>
    <x:row r="141">
      <x:c r="A141" s="141" t="str">
        <x:v>TR-0139</x:v>
      </x:c>
      <x:c r="B141" s="141" t="str">
        <x:v>SG-22027062107</x:v>
      </x:c>
      <x:c r="C141" s="141" t="str">
        <x:v>Q2</x:v>
      </x:c>
      <x:c r="D141" s="141" t="str">
        <x:v>Quality Assurance</x:v>
      </x:c>
      <x:c r="E141" s="141" t="str">
        <x:v>ESD Safety and Handling</x:v>
      </x:c>
      <x:c r="F141" s="141" t="str">
        <x:v>Compliance</x:v>
      </x:c>
      <x:c r="G141" s="171" t="n">
        <x:v>46139</x:v>
      </x:c>
      <x:c r="H141" s="141" t="n">
        <x:v>8</x:v>
      </x:c>
      <x:c r="I141" s="141" t="n">
        <x:v>62</x:v>
      </x:c>
      <x:c r="J141" s="141" t="str">
        <x:v>Completed</x:v>
      </x:c>
      <x:c r="K141" s="141" t="str">
        <x:v>No</x:v>
      </x:c>
      <x:c r="L141" s="173" t="n">
        <x:v>3757</x:v>
      </x:c>
      <x:c r="M141" s="141" t="str">
        <x:v>Sabia Academy</x:v>
      </x:c>
    </x:row>
    <x:row r="142">
      <x:c r="A142" s="141" t="str">
        <x:v>TR-0140</x:v>
      </x:c>
      <x:c r="B142" s="141" t="str">
        <x:v>SG-22027062107</x:v>
      </x:c>
      <x:c r="C142" s="141" t="str">
        <x:v>Q3</x:v>
      </x:c>
      <x:c r="D142" s="141" t="str">
        <x:v>Quality Assurance</x:v>
      </x:c>
      <x:c r="E142" s="141" t="str">
        <x:v>Problem Solving and Root Cause Analysis</x:v>
      </x:c>
      <x:c r="F142" s="141" t="str">
        <x:v>Quality</x:v>
      </x:c>
      <x:c r="G142" s="171" t="n">
        <x:v>46214</x:v>
      </x:c>
      <x:c r="H142" s="141" t="n">
        <x:v>10</x:v>
      </x:c>
      <x:c r="I142" s="141" t="n">
        <x:v>95</x:v>
      </x:c>
      <x:c r="J142" s="141" t="str">
        <x:v>Completed</x:v>
      </x:c>
      <x:c r="K142" s="141" t="str">
        <x:v>Yes</x:v>
      </x:c>
      <x:c r="L142" s="173" t="n">
        <x:v>3738</x:v>
      </x:c>
      <x:c r="M142" s="141" t="str">
        <x:v>Sabia Academy</x:v>
      </x:c>
    </x:row>
    <x:row r="143">
      <x:c r="A143" s="141" t="str">
        <x:v>TR-0141</x:v>
      </x:c>
      <x:c r="B143" s="141" t="str">
        <x:v>SG-23008032007</x:v>
      </x:c>
      <x:c r="C143" s="141" t="str">
        <x:v>Q4</x:v>
      </x:c>
      <x:c r="D143" s="141" t="str">
        <x:v>Engineering and Maintenance</x:v>
      </x:c>
      <x:c r="E143" s="141" t="str">
        <x:v>Power BI for HR and Operations</x:v>
      </x:c>
      <x:c r="F143" s="141" t="str">
        <x:v>Analytics</x:v>
      </x:c>
      <x:c r="G143" s="171" t="n">
        <x:v>46334</x:v>
      </x:c>
      <x:c r="H143" s="141" t="n">
        <x:v>12</x:v>
      </x:c>
      <x:c r="I143" s="141" t="n">
        <x:v>94</x:v>
      </x:c>
      <x:c r="J143" s="141" t="str">
        <x:v>Completed</x:v>
      </x:c>
      <x:c r="K143" s="141" t="str">
        <x:v>No</x:v>
      </x:c>
      <x:c r="L143" s="173" t="n">
        <x:v>2462</x:v>
      </x:c>
      <x:c r="M143" s="141" t="str">
        <x:v>BUET Industry Partner</x:v>
      </x:c>
    </x:row>
    <x:row r="144">
      <x:c r="A144" s="141" t="str">
        <x:v>TR-0142</x:v>
      </x:c>
      <x:c r="B144" s="141" t="str">
        <x:v>SG-23008032007</x:v>
      </x:c>
      <x:c r="C144" s="141" t="str">
        <x:v>Q2</x:v>
      </x:c>
      <x:c r="D144" s="141" t="str">
        <x:v>Engineering and Maintenance</x:v>
      </x:c>
      <x:c r="E144" s="141" t="str">
        <x:v>Precision Assembly Certification</x:v>
      </x:c>
      <x:c r="F144" s="141" t="str">
        <x:v>Technical</x:v>
      </x:c>
      <x:c r="G144" s="171" t="n">
        <x:v>46172</x:v>
      </x:c>
      <x:c r="H144" s="141" t="n">
        <x:v>16</x:v>
      </x:c>
      <x:c r="I144" s="141" t="n">
        <x:v>75</x:v>
      </x:c>
      <x:c r="J144" s="141" t="str">
        <x:v>Completed</x:v>
      </x:c>
      <x:c r="K144" s="141" t="str">
        <x:v>Yes</x:v>
      </x:c>
      <x:c r="L144" s="173" t="n">
        <x:v>3754</x:v>
      </x:c>
      <x:c r="M144" s="141" t="str">
        <x:v>Internal SME</x:v>
      </x:c>
    </x:row>
    <x:row r="145">
      <x:c r="A145" s="141" t="str">
        <x:v>TR-0143</x:v>
      </x:c>
      <x:c r="B145" s="141" t="str">
        <x:v>SG-21024051808</x:v>
      </x:c>
      <x:c r="C145" s="141" t="str">
        <x:v>Q3</x:v>
      </x:c>
      <x:c r="D145" s="141" t="str">
        <x:v>Smartwatch Production</x:v>
      </x:c>
      <x:c r="E145" s="141" t="str">
        <x:v>ESD Safety and Handling</x:v>
      </x:c>
      <x:c r="F145" s="141" t="str">
        <x:v>Compliance</x:v>
      </x:c>
      <x:c r="G145" s="171" t="n">
        <x:v>46292</x:v>
      </x:c>
      <x:c r="H145" s="141" t="n">
        <x:v>8</x:v>
      </x:c>
      <x:c r="I145" s="141" t="n">
        <x:v>89</x:v>
      </x:c>
      <x:c r="J145" s="141" t="str">
        <x:v>Completed</x:v>
      </x:c>
      <x:c r="K145" s="141" t="str">
        <x:v>Yes</x:v>
      </x:c>
      <x:c r="L145" s="173" t="n">
        <x:v>2213</x:v>
      </x:c>
      <x:c r="M145" s="141" t="str">
        <x:v>BUET Industry Partner</x:v>
      </x:c>
    </x:row>
    <x:row r="146">
      <x:c r="A146" s="141" t="str">
        <x:v>TR-0144</x:v>
      </x:c>
      <x:c r="B146" s="141" t="str">
        <x:v>SG-21024051808</x:v>
      </x:c>
      <x:c r="C146" s="141" t="str">
        <x:v>Q4</x:v>
      </x:c>
      <x:c r="D146" s="141" t="str">
        <x:v>Smartwatch Production</x:v>
      </x:c>
      <x:c r="E146" s="141" t="str">
        <x:v>Lean Manufacturing Basics</x:v>
      </x:c>
      <x:c r="F146" s="141" t="str">
        <x:v>Operational Excellence</x:v>
      </x:c>
      <x:c r="G146" s="171" t="n">
        <x:v>46317</x:v>
      </x:c>
      <x:c r="H146" s="141" t="n">
        <x:v>12</x:v>
      </x:c>
      <x:c r="I146" s="141" t="n">
        <x:v>93</x:v>
      </x:c>
      <x:c r="J146" s="141" t="str">
        <x:v>Completed</x:v>
      </x:c>
      <x:c r="K146" s="141" t="str">
        <x:v>No</x:v>
      </x:c>
      <x:c r="L146" s="173" t="n">
        <x:v>1578</x:v>
      </x:c>
      <x:c r="M146" s="141" t="str">
        <x:v>Internal SME</x:v>
      </x:c>
    </x:row>
    <x:row r="147">
      <x:c r="A147" s="141" t="str">
        <x:v>TR-0145</x:v>
      </x:c>
      <x:c r="B147" s="141" t="str">
        <x:v>SG-21017062021</x:v>
      </x:c>
      <x:c r="C147" s="141" t="str">
        <x:v>Q2</x:v>
      </x:c>
      <x:c r="D147" s="141" t="str">
        <x:v>Smartwatch Production</x:v>
      </x:c>
      <x:c r="E147" s="141" t="str">
        <x:v>Problem Solving and Root Cause Analysis</x:v>
      </x:c>
      <x:c r="F147" s="141" t="str">
        <x:v>Quality</x:v>
      </x:c>
      <x:c r="G147" s="171" t="n">
        <x:v>46147</x:v>
      </x:c>
      <x:c r="H147" s="141" t="n">
        <x:v>10</x:v>
      </x:c>
      <x:c r="I147" s="141" t="n">
        <x:v>52</x:v>
      </x:c>
      <x:c r="J147" s="141" t="str">
        <x:v>In Progress</x:v>
      </x:c>
      <x:c r="K147" s="141" t="str">
        <x:v>No</x:v>
      </x:c>
      <x:c r="L147" s="173" t="n">
        <x:v>3820</x:v>
      </x:c>
      <x:c r="M147" s="141" t="str">
        <x:v>External Consultant</x:v>
      </x:c>
    </x:row>
    <x:row r="148">
      <x:c r="A148" s="141" t="str">
        <x:v>TR-0146</x:v>
      </x:c>
      <x:c r="B148" s="141" t="str">
        <x:v>SG-21017062021</x:v>
      </x:c>
      <x:c r="C148" s="141" t="str">
        <x:v>Q3</x:v>
      </x:c>
      <x:c r="D148" s="141" t="str">
        <x:v>Smartwatch Production</x:v>
      </x:c>
      <x:c r="E148" s="141" t="str">
        <x:v>Quality at Source</x:v>
      </x:c>
      <x:c r="F148" s="141" t="str">
        <x:v>Quality</x:v>
      </x:c>
      <x:c r="G148" s="171" t="n">
        <x:v>46224</x:v>
      </x:c>
      <x:c r="H148" s="141" t="n">
        <x:v>8</x:v>
      </x:c>
      <x:c r="I148" s="141" t="n">
        <x:v>79</x:v>
      </x:c>
      <x:c r="J148" s="141" t="str">
        <x:v>Completed</x:v>
      </x:c>
      <x:c r="K148" s="141" t="str">
        <x:v>Yes</x:v>
      </x:c>
      <x:c r="L148" s="173" t="n">
        <x:v>4511</x:v>
      </x:c>
      <x:c r="M148" s="141" t="str">
        <x:v>Internal SME</x:v>
      </x:c>
    </x:row>
    <x:row r="149">
      <x:c r="A149" s="141" t="str">
        <x:v>TR-0147</x:v>
      </x:c>
      <x:c r="B149" s="141" t="str">
        <x:v>SG-25013022004</x:v>
      </x:c>
      <x:c r="C149" s="141" t="str">
        <x:v>Q2</x:v>
      </x:c>
      <x:c r="D149" s="141" t="str">
        <x:v>Supply Chain and Planning</x:v>
      </x:c>
      <x:c r="E149" s="141" t="str">
        <x:v>Embedded Systems Fundamentals</x:v>
      </x:c>
      <x:c r="F149" s="141" t="str">
        <x:v>Technical</x:v>
      </x:c>
      <x:c r="G149" s="171" t="n">
        <x:v>46182</x:v>
      </x:c>
      <x:c r="H149" s="141" t="n">
        <x:v>20</x:v>
      </x:c>
      <x:c r="I149" s="141" t="n">
        <x:v>68</x:v>
      </x:c>
      <x:c r="J149" s="141" t="str">
        <x:v>Completed</x:v>
      </x:c>
      <x:c r="K149" s="141" t="str">
        <x:v>No</x:v>
      </x:c>
      <x:c r="L149" s="173" t="n">
        <x:v>3282</x:v>
      </x:c>
      <x:c r="M149" s="141" t="str">
        <x:v>Sabia Academy</x:v>
      </x:c>
    </x:row>
    <x:row r="150">
      <x:c r="A150" s="141" t="str">
        <x:v>TR-0148</x:v>
      </x:c>
      <x:c r="B150" s="141" t="str">
        <x:v>SG-21012092658</x:v>
      </x:c>
      <x:c r="C150" s="141" t="str">
        <x:v>Q4</x:v>
      </x:c>
      <x:c r="D150" s="141" t="str">
        <x:v>Smartwatch Production</x:v>
      </x:c>
      <x:c r="E150" s="141" t="str">
        <x:v>ESD Safety and Handling</x:v>
      </x:c>
      <x:c r="F150" s="141" t="str">
        <x:v>Compliance</x:v>
      </x:c>
      <x:c r="G150" s="171" t="n">
        <x:v>46302</x:v>
      </x:c>
      <x:c r="H150" s="141" t="n">
        <x:v>8</x:v>
      </x:c>
      <x:c r="I150" s="141" t="n">
        <x:v>85</x:v>
      </x:c>
      <x:c r="J150" s="141" t="str">
        <x:v>Completed</x:v>
      </x:c>
      <x:c r="K150" s="141" t="str">
        <x:v>Yes</x:v>
      </x:c>
      <x:c r="L150" s="173" t="n">
        <x:v>4517</x:v>
      </x:c>
      <x:c r="M150" s="141" t="str">
        <x:v>Sabia Academy</x:v>
      </x:c>
    </x:row>
    <x:row r="151">
      <x:c r="A151" s="141" t="str">
        <x:v>TR-0149</x:v>
      </x:c>
      <x:c r="B151" s="141" t="str">
        <x:v>SG-21012092658</x:v>
      </x:c>
      <x:c r="C151" s="141" t="str">
        <x:v>Q4</x:v>
      </x:c>
      <x:c r="D151" s="141" t="str">
        <x:v>Smartwatch Production</x:v>
      </x:c>
      <x:c r="E151" s="141" t="str">
        <x:v>Quality at Source</x:v>
      </x:c>
      <x:c r="F151" s="141" t="str">
        <x:v>Quality</x:v>
      </x:c>
      <x:c r="G151" s="171" t="n">
        <x:v>46375</x:v>
      </x:c>
      <x:c r="H151" s="141" t="n">
        <x:v>8</x:v>
      </x:c>
      <x:c r="I151" s="141" t="n">
        <x:v>87</x:v>
      </x:c>
      <x:c r="J151" s="141" t="str">
        <x:v>Completed</x:v>
      </x:c>
      <x:c r="K151" s="141" t="str">
        <x:v>Yes</x:v>
      </x:c>
      <x:c r="L151" s="173" t="n">
        <x:v>1902</x:v>
      </x:c>
      <x:c r="M151" s="141" t="str">
        <x:v>Internal SME</x:v>
      </x:c>
    </x:row>
    <x:row r="152">
      <x:c r="A152" s="141" t="str">
        <x:v>TR-0150</x:v>
      </x:c>
      <x:c r="B152" s="141" t="str">
        <x:v>SG-21010082662</x:v>
      </x:c>
      <x:c r="C152" s="141" t="str">
        <x:v>Q3</x:v>
      </x:c>
      <x:c r="D152" s="141" t="str">
        <x:v>Smartwatch Production</x:v>
      </x:c>
      <x:c r="E152" s="141" t="str">
        <x:v>Precision Assembly Certification</x:v>
      </x:c>
      <x:c r="F152" s="141" t="str">
        <x:v>Technical</x:v>
      </x:c>
      <x:c r="G152" s="171" t="n">
        <x:v>46292</x:v>
      </x:c>
      <x:c r="H152" s="141" t="n">
        <x:v>16</x:v>
      </x:c>
      <x:c r="I152" s="141" t="n">
        <x:v>92</x:v>
      </x:c>
      <x:c r="J152" s="141" t="str">
        <x:v>Completed</x:v>
      </x:c>
      <x:c r="K152" s="141" t="str">
        <x:v>Yes</x:v>
      </x:c>
      <x:c r="L152" s="173" t="n">
        <x:v>3008</x:v>
      </x:c>
      <x:c r="M152" s="141" t="str">
        <x:v>Internal SME</x:v>
      </x:c>
    </x:row>
    <x:row r="153">
      <x:c r="A153" s="141" t="str">
        <x:v>TR-0151</x:v>
      </x:c>
      <x:c r="B153" s="141" t="str">
        <x:v>SG-24027082611</x:v>
      </x:c>
      <x:c r="C153" s="141" t="str">
        <x:v>Q4</x:v>
      </x:c>
      <x:c r="D153" s="141" t="str">
        <x:v>Research and Development</x:v>
      </x:c>
      <x:c r="E153" s="141" t="str">
        <x:v>Problem Solving and Root Cause Analysis</x:v>
      </x:c>
      <x:c r="F153" s="141" t="str">
        <x:v>Quality</x:v>
      </x:c>
      <x:c r="G153" s="171" t="n">
        <x:v>46302</x:v>
      </x:c>
      <x:c r="H153" s="141" t="n">
        <x:v>10</x:v>
      </x:c>
      <x:c r="I153" s="141" t="n">
        <x:v>68</x:v>
      </x:c>
      <x:c r="J153" s="141" t="str">
        <x:v>Completed</x:v>
      </x:c>
      <x:c r="K153" s="141" t="str">
        <x:v>No</x:v>
      </x:c>
      <x:c r="L153" s="173" t="n">
        <x:v>1273</x:v>
      </x:c>
      <x:c r="M153" s="141" t="str">
        <x:v>External Consultant</x:v>
      </x:c>
    </x:row>
    <x:row r="154">
      <x:c r="A154" s="141" t="str">
        <x:v>TR-0152</x:v>
      </x:c>
      <x:c r="B154" s="141" t="str">
        <x:v>SG-21030042647</x:v>
      </x:c>
      <x:c r="C154" s="141" t="str">
        <x:v>Q4</x:v>
      </x:c>
      <x:c r="D154" s="141" t="str">
        <x:v>Smartwatch Production</x:v>
      </x:c>
      <x:c r="E154" s="141" t="str">
        <x:v>Precision Assembly Certification</x:v>
      </x:c>
      <x:c r="F154" s="141" t="str">
        <x:v>Technical</x:v>
      </x:c>
      <x:c r="G154" s="171" t="n">
        <x:v>46308</x:v>
      </x:c>
      <x:c r="H154" s="141" t="n">
        <x:v>16</x:v>
      </x:c>
      <x:c r="I154" s="141" t="n">
        <x:v>79</x:v>
      </x:c>
      <x:c r="J154" s="141" t="str">
        <x:v>Completed</x:v>
      </x:c>
      <x:c r="K154" s="141" t="str">
        <x:v>Yes</x:v>
      </x:c>
      <x:c r="L154" s="173" t="n">
        <x:v>3256</x:v>
      </x:c>
      <x:c r="M154" s="141" t="str">
        <x:v>External Consultant</x:v>
      </x:c>
    </x:row>
    <x:row r="155">
      <x:c r="A155" s="141" t="str">
        <x:v>TR-0153</x:v>
      </x:c>
      <x:c r="B155" s="141" t="str">
        <x:v>SG-22007052613</x:v>
      </x:c>
      <x:c r="C155" s="141" t="str">
        <x:v>Q4</x:v>
      </x:c>
      <x:c r="D155" s="141" t="str">
        <x:v>Quality Assurance</x:v>
      </x:c>
      <x:c r="E155" s="141" t="str">
        <x:v>Quality at Source</x:v>
      </x:c>
      <x:c r="F155" s="141" t="str">
        <x:v>Quality</x:v>
      </x:c>
      <x:c r="G155" s="171" t="n">
        <x:v>46334</x:v>
      </x:c>
      <x:c r="H155" s="141" t="n">
        <x:v>8</x:v>
      </x:c>
      <x:c r="I155" s="141" t="n">
        <x:v>72</x:v>
      </x:c>
      <x:c r="J155" s="141" t="str">
        <x:v>Completed</x:v>
      </x:c>
      <x:c r="K155" s="141" t="str">
        <x:v>No</x:v>
      </x:c>
      <x:c r="L155" s="173" t="n">
        <x:v>2497</x:v>
      </x:c>
      <x:c r="M155" s="141" t="str">
        <x:v>Internal SME</x:v>
      </x:c>
    </x:row>
    <x:row r="156">
      <x:c r="A156" s="141" t="str">
        <x:v>TR-0154</x:v>
      </x:c>
      <x:c r="B156" s="141" t="str">
        <x:v>SG-28027042404</x:v>
      </x:c>
      <x:c r="C156" s="141" t="str">
        <x:v>Q3</x:v>
      </x:c>
      <x:c r="D156" s="141" t="str">
        <x:v>IT Data and HRIS</x:v>
      </x:c>
      <x:c r="E156" s="141" t="str">
        <x:v>ESD Safety and Handling</x:v>
      </x:c>
      <x:c r="F156" s="141" t="str">
        <x:v>Compliance</x:v>
      </x:c>
      <x:c r="G156" s="171" t="n">
        <x:v>46259</x:v>
      </x:c>
      <x:c r="H156" s="141" t="n">
        <x:v>8</x:v>
      </x:c>
      <x:c r="I156" s="141" t="n">
        <x:v>82</x:v>
      </x:c>
      <x:c r="J156" s="141" t="str">
        <x:v>Completed</x:v>
      </x:c>
      <x:c r="K156" s="141" t="str">
        <x:v>Yes</x:v>
      </x:c>
      <x:c r="L156" s="173" t="n">
        <x:v>3736</x:v>
      </x:c>
      <x:c r="M156" s="141" t="str">
        <x:v>Internal SME</x:v>
      </x:c>
    </x:row>
    <x:row r="157">
      <x:c r="A157" s="141" t="str">
        <x:v>TR-0155</x:v>
      </x:c>
      <x:c r="B157" s="141" t="str">
        <x:v>SG-28027042404</x:v>
      </x:c>
      <x:c r="C157" s="141" t="str">
        <x:v>Q4</x:v>
      </x:c>
      <x:c r="D157" s="141" t="str">
        <x:v>IT Data and HRIS</x:v>
      </x:c>
      <x:c r="E157" s="141" t="str">
        <x:v>Supervisor Essentials</x:v>
      </x:c>
      <x:c r="F157" s="141" t="str">
        <x:v>Leadership</x:v>
      </x:c>
      <x:c r="G157" s="171" t="n">
        <x:v>46336</x:v>
      </x:c>
      <x:c r="H157" s="141" t="n">
        <x:v>12</x:v>
      </x:c>
      <x:c r="I157" s="141" t="n">
        <x:v>90</x:v>
      </x:c>
      <x:c r="J157" s="141" t="str">
        <x:v>Completed</x:v>
      </x:c>
      <x:c r="K157" s="141" t="str">
        <x:v>No</x:v>
      </x:c>
      <x:c r="L157" s="173" t="n">
        <x:v>2125</x:v>
      </x:c>
      <x:c r="M157" s="141" t="str">
        <x:v>Sabia Academy</x:v>
      </x:c>
    </x:row>
    <x:row r="158">
      <x:c r="A158" s="141" t="str">
        <x:v>TR-0156</x:v>
      </x:c>
      <x:c r="B158" s="141" t="str">
        <x:v>SG-21024092661</x:v>
      </x:c>
      <x:c r="C158" s="141" t="str">
        <x:v>Q4</x:v>
      </x:c>
      <x:c r="D158" s="141" t="str">
        <x:v>Smartwatch Production</x:v>
      </x:c>
      <x:c r="E158" s="141" t="str">
        <x:v>Problem Solving and Root Cause Analysis</x:v>
      </x:c>
      <x:c r="F158" s="141" t="str">
        <x:v>Quality</x:v>
      </x:c>
      <x:c r="G158" s="171" t="n">
        <x:v>46304</x:v>
      </x:c>
      <x:c r="H158" s="141" t="n">
        <x:v>10</x:v>
      </x:c>
      <x:c r="I158" s="141" t="n">
        <x:v>65</x:v>
      </x:c>
      <x:c r="J158" s="141" t="str">
        <x:v>Completed</x:v>
      </x:c>
      <x:c r="K158" s="141" t="str">
        <x:v>No</x:v>
      </x:c>
      <x:c r="L158" s="173" t="n">
        <x:v>1981</x:v>
      </x:c>
      <x:c r="M158" s="141" t="str">
        <x:v>External Consultant</x:v>
      </x:c>
    </x:row>
    <x:row r="159">
      <x:c r="A159" s="141" t="str">
        <x:v>TR-0157</x:v>
      </x:c>
      <x:c r="B159" s="141" t="str">
        <x:v>SG-21024092661</x:v>
      </x:c>
      <x:c r="C159" s="141" t="str">
        <x:v>Q4</x:v>
      </x:c>
      <x:c r="D159" s="141" t="str">
        <x:v>Smartwatch Production</x:v>
      </x:c>
      <x:c r="E159" s="141" t="str">
        <x:v>ESD Safety and Handling</x:v>
      </x:c>
      <x:c r="F159" s="141" t="str">
        <x:v>Compliance</x:v>
      </x:c>
      <x:c r="G159" s="171" t="n">
        <x:v>46331</x:v>
      </x:c>
      <x:c r="H159" s="141" t="n">
        <x:v>8</x:v>
      </x:c>
      <x:c r="I159" s="141" t="n">
        <x:v>80</x:v>
      </x:c>
      <x:c r="J159" s="141" t="str">
        <x:v>Completed</x:v>
      </x:c>
      <x:c r="K159" s="141" t="str">
        <x:v>Yes</x:v>
      </x:c>
      <x:c r="L159" s="173" t="n">
        <x:v>2546</x:v>
      </x:c>
      <x:c r="M159" s="141" t="str">
        <x:v>Internal SME</x:v>
      </x:c>
    </x:row>
    <x:row r="160">
      <x:c r="A160" s="141" t="str">
        <x:v>TR-0158</x:v>
      </x:c>
      <x:c r="B160" s="141" t="str">
        <x:v>SG-22008082616</x:v>
      </x:c>
      <x:c r="C160" s="141" t="str">
        <x:v>Q4</x:v>
      </x:c>
      <x:c r="D160" s="141" t="str">
        <x:v>Quality Assurance</x:v>
      </x:c>
      <x:c r="E160" s="141" t="str">
        <x:v>Lean Manufacturing Basics</x:v>
      </x:c>
      <x:c r="F160" s="141" t="str">
        <x:v>Operational Excellence</x:v>
      </x:c>
      <x:c r="G160" s="171" t="n">
        <x:v>46372</x:v>
      </x:c>
      <x:c r="H160" s="141" t="n">
        <x:v>12</x:v>
      </x:c>
      <x:c r="I160" s="141" t="n">
        <x:v>76</x:v>
      </x:c>
      <x:c r="J160" s="141" t="str">
        <x:v>Completed</x:v>
      </x:c>
      <x:c r="K160" s="141" t="str">
        <x:v>No</x:v>
      </x:c>
      <x:c r="L160" s="173" t="n">
        <x:v>3351</x:v>
      </x:c>
      <x:c r="M160" s="141" t="str">
        <x:v>BUET Industry Partner</x:v>
      </x:c>
    </x:row>
    <x:row r="161">
      <x:c r="A161" s="141" t="str">
        <x:v>TR-0159</x:v>
      </x:c>
      <x:c r="B161" s="141" t="str">
        <x:v>SG-22008082616</x:v>
      </x:c>
      <x:c r="C161" s="141" t="str">
        <x:v>Q4</x:v>
      </x:c>
      <x:c r="D161" s="141" t="str">
        <x:v>Quality Assurance</x:v>
      </x:c>
      <x:c r="E161" s="141" t="str">
        <x:v>Bangladesh Labour Law Awareness</x:v>
      </x:c>
      <x:c r="F161" s="141" t="str">
        <x:v>Compliance</x:v>
      </x:c>
      <x:c r="G161" s="171" t="n">
        <x:v>46371</x:v>
      </x:c>
      <x:c r="H161" s="141" t="n">
        <x:v>6</x:v>
      </x:c>
      <x:c r="I161" s="141" t="n">
        <x:v>96</x:v>
      </x:c>
      <x:c r="J161" s="141" t="str">
        <x:v>Completed</x:v>
      </x:c>
      <x:c r="K161" s="141" t="str">
        <x:v>Yes</x:v>
      </x:c>
      <x:c r="L161" s="173" t="n">
        <x:v>2699</x:v>
      </x:c>
      <x:c r="M161" s="141" t="str">
        <x:v>Sabia Academy</x:v>
      </x:c>
    </x:row>
    <x:row r="162">
      <x:c r="A162" s="141" t="str">
        <x:v>TR-0160</x:v>
      </x:c>
      <x:c r="B162" s="141" t="str">
        <x:v>SG-28019062606</x:v>
      </x:c>
      <x:c r="C162" s="141" t="str">
        <x:v>Q4</x:v>
      </x:c>
      <x:c r="D162" s="141" t="str">
        <x:v>IT Data and HRIS</x:v>
      </x:c>
      <x:c r="E162" s="141" t="str">
        <x:v>Power BI for HR and Operations</x:v>
      </x:c>
      <x:c r="F162" s="141" t="str">
        <x:v>Analytics</x:v>
      </x:c>
      <x:c r="G162" s="171" t="n">
        <x:v>46309</x:v>
      </x:c>
      <x:c r="H162" s="141" t="n">
        <x:v>12</x:v>
      </x:c>
      <x:c r="I162" s="141" t="n">
        <x:v>72</x:v>
      </x:c>
      <x:c r="J162" s="141" t="str">
        <x:v>Completed</x:v>
      </x:c>
      <x:c r="K162" s="141" t="str">
        <x:v>No</x:v>
      </x:c>
      <x:c r="L162" s="173" t="n">
        <x:v>3165</x:v>
      </x:c>
      <x:c r="M162" s="141" t="str">
        <x:v>BUET Industry Partner</x:v>
      </x:c>
    </x:row>
    <x:row r="163">
      <x:c r="A163" s="141" t="str">
        <x:v>TR-0161</x:v>
      </x:c>
      <x:c r="B163" s="141" t="str">
        <x:v>SG-22016082615</x:v>
      </x:c>
      <x:c r="C163" s="141" t="str">
        <x:v>Q3</x:v>
      </x:c>
      <x:c r="D163" s="141" t="str">
        <x:v>Quality Assurance</x:v>
      </x:c>
      <x:c r="E163" s="141" t="str">
        <x:v>ESD Safety and Handling</x:v>
      </x:c>
      <x:c r="F163" s="141" t="str">
        <x:v>Compliance</x:v>
      </x:c>
      <x:c r="G163" s="171" t="n">
        <x:v>46261</x:v>
      </x:c>
      <x:c r="H163" s="141" t="n">
        <x:v>8</x:v>
      </x:c>
      <x:c r="I163" s="141" t="n">
        <x:v>78</x:v>
      </x:c>
      <x:c r="J163" s="141" t="str">
        <x:v>Completed</x:v>
      </x:c>
      <x:c r="K163" s="141" t="str">
        <x:v>Yes</x:v>
      </x:c>
      <x:c r="L163" s="173" t="n">
        <x:v>1725</x:v>
      </x:c>
      <x:c r="M163" s="141" t="str">
        <x:v>BUET Industry Partner</x:v>
      </x:c>
    </x:row>
    <x:row r="164">
      <x:c r="A164" s="141" t="str">
        <x:v>TR-0162</x:v>
      </x:c>
      <x:c r="B164" s="141" t="str">
        <x:v>SG-22016082615</x:v>
      </x:c>
      <x:c r="C164" s="141" t="str">
        <x:v>Q3</x:v>
      </x:c>
      <x:c r="D164" s="141" t="str">
        <x:v>Quality Assurance</x:v>
      </x:c>
      <x:c r="E164" s="141" t="str">
        <x:v>Bangladesh Labour Law Awareness</x:v>
      </x:c>
      <x:c r="F164" s="141" t="str">
        <x:v>Compliance</x:v>
      </x:c>
      <x:c r="G164" s="171" t="n">
        <x:v>46295</x:v>
      </x:c>
      <x:c r="H164" s="141" t="n">
        <x:v>6</x:v>
      </x:c>
      <x:c r="I164" s="141" t="n">
        <x:v>85</x:v>
      </x:c>
      <x:c r="J164" s="141" t="str">
        <x:v>Completed</x:v>
      </x:c>
      <x:c r="K164" s="141" t="str">
        <x:v>Yes</x:v>
      </x:c>
      <x:c r="L164" s="173" t="n">
        <x:v>3261</x:v>
      </x:c>
      <x:c r="M164" s="141" t="str">
        <x:v>Internal SME</x:v>
      </x:c>
    </x:row>
    <x:row r="165">
      <x:c r="A165" s="141" t="str">
        <x:v>TR-0163</x:v>
      </x:c>
      <x:c r="B165" s="141" t="str">
        <x:v>SG-28012072607</x:v>
      </x:c>
      <x:c r="C165" s="141" t="str">
        <x:v>Q4</x:v>
      </x:c>
      <x:c r="D165" s="141" t="str">
        <x:v>IT Data and HRIS</x:v>
      </x:c>
      <x:c r="E165" s="141" t="str">
        <x:v>Supervisor Essentials</x:v>
      </x:c>
      <x:c r="F165" s="141" t="str">
        <x:v>Leadership</x:v>
      </x:c>
      <x:c r="G165" s="171" t="n">
        <x:v>46342</x:v>
      </x:c>
      <x:c r="H165" s="141" t="n">
        <x:v>12</x:v>
      </x:c>
      <x:c r="I165" s="141" t="n">
        <x:v>83</x:v>
      </x:c>
      <x:c r="J165" s="141" t="str">
        <x:v>Completed</x:v>
      </x:c>
      <x:c r="K165" s="141" t="str">
        <x:v>No</x:v>
      </x:c>
      <x:c r="L165" s="173" t="n">
        <x:v>1288</x:v>
      </x:c>
      <x:c r="M165" s="141" t="str">
        <x:v>Internal SME</x:v>
      </x:c>
    </x:row>
    <x:row r="166">
      <x:c r="A166" s="141" t="str">
        <x:v>TR-0164</x:v>
      </x:c>
      <x:c r="B166" s="141" t="str">
        <x:v>SG-21028082654</x:v>
      </x:c>
      <x:c r="C166" s="141" t="str">
        <x:v>Q4</x:v>
      </x:c>
      <x:c r="D166" s="141" t="str">
        <x:v>Smartwatch Production</x:v>
      </x:c>
      <x:c r="E166" s="141" t="str">
        <x:v>Precision Assembly Certification</x:v>
      </x:c>
      <x:c r="F166" s="141" t="str">
        <x:v>Technical</x:v>
      </x:c>
      <x:c r="G166" s="171" t="n">
        <x:v>46362</x:v>
      </x:c>
      <x:c r="H166" s="141" t="n">
        <x:v>16</x:v>
      </x:c>
      <x:c r="I166" s="141" t="n">
        <x:v>81</x:v>
      </x:c>
      <x:c r="J166" s="141" t="str">
        <x:v>Completed</x:v>
      </x:c>
      <x:c r="K166" s="141" t="str">
        <x:v>Yes</x:v>
      </x:c>
      <x:c r="L166" s="173" t="n">
        <x:v>1815</x:v>
      </x:c>
      <x:c r="M166" s="141" t="str">
        <x:v>Sabia Academy</x:v>
      </x:c>
    </x:row>
    <x:row r="167">
      <x:c r="A167" s="141" t="str">
        <x:v>TR-0165</x:v>
      </x:c>
      <x:c r="B167" s="141" t="str">
        <x:v>SG-21028082654</x:v>
      </x:c>
      <x:c r="C167" s="141" t="str">
        <x:v>Q3</x:v>
      </x:c>
      <x:c r="D167" s="141" t="str">
        <x:v>Smartwatch Production</x:v>
      </x:c>
      <x:c r="E167" s="141" t="str">
        <x:v>HRIS Employee Self Service</x:v>
      </x:c>
      <x:c r="F167" s="141" t="str">
        <x:v>Digital</x:v>
      </x:c>
      <x:c r="G167" s="171" t="n">
        <x:v>46285</x:v>
      </x:c>
      <x:c r="H167" s="141" t="n">
        <x:v>4</x:v>
      </x:c>
      <x:c r="I167" s="141" t="n">
        <x:v>98</x:v>
      </x:c>
      <x:c r="J167" s="141" t="str">
        <x:v>Completed</x:v>
      </x:c>
      <x:c r="K167" s="141" t="str">
        <x:v>No</x:v>
      </x:c>
      <x:c r="L167" s="173" t="n">
        <x:v>3601</x:v>
      </x:c>
      <x:c r="M167" s="141" t="str">
        <x:v>Internal SME</x:v>
      </x:c>
    </x:row>
    <x:row r="168">
      <x:c r="A168" s="141" t="str">
        <x:v>TR-0166</x:v>
      </x:c>
      <x:c r="B168" s="141" t="str">
        <x:v>SG-21028082654</x:v>
      </x:c>
      <x:c r="C168" s="141" t="str">
        <x:v>Q4</x:v>
      </x:c>
      <x:c r="D168" s="141" t="str">
        <x:v>Smartwatch Production</x:v>
      </x:c>
      <x:c r="E168" s="141" t="str">
        <x:v>Embedded Systems Fundamentals</x:v>
      </x:c>
      <x:c r="F168" s="141" t="str">
        <x:v>Technical</x:v>
      </x:c>
      <x:c r="G168" s="171" t="n">
        <x:v>46311</x:v>
      </x:c>
      <x:c r="H168" s="141" t="n">
        <x:v>20</x:v>
      </x:c>
      <x:c r="I168" s="141" t="n">
        <x:v>76</x:v>
      </x:c>
      <x:c r="J168" s="141" t="str">
        <x:v>Completed</x:v>
      </x:c>
      <x:c r="K168" s="141" t="str">
        <x:v>Yes</x:v>
      </x:c>
      <x:c r="L168" s="173" t="n">
        <x:v>3465</x:v>
      </x:c>
      <x:c r="M168" s="141" t="str">
        <x:v>BUET Industry Partner</x:v>
      </x:c>
    </x:row>
    <x:row r="169">
      <x:c r="A169" s="141" t="str">
        <x:v>TR-0167</x:v>
      </x:c>
      <x:c r="B169" s="141" t="str">
        <x:v>SG-25028072609</x:v>
      </x:c>
      <x:c r="C169" s="141" t="str">
        <x:v>Q4</x:v>
      </x:c>
      <x:c r="D169" s="141" t="str">
        <x:v>Supply Chain and Planning</x:v>
      </x:c>
      <x:c r="E169" s="141" t="str">
        <x:v>Quality at Source</x:v>
      </x:c>
      <x:c r="F169" s="141" t="str">
        <x:v>Quality</x:v>
      </x:c>
      <x:c r="G169" s="171" t="n">
        <x:v>46360</x:v>
      </x:c>
      <x:c r="H169" s="141" t="n">
        <x:v>8</x:v>
      </x:c>
      <x:c r="I169" s="141" t="n">
        <x:v>70</x:v>
      </x:c>
      <x:c r="J169" s="141" t="str">
        <x:v>Completed</x:v>
      </x:c>
      <x:c r="K169" s="141" t="str">
        <x:v>No</x:v>
      </x:c>
      <x:c r="L169" s="173" t="n">
        <x:v>3811</x:v>
      </x:c>
      <x:c r="M169" s="141" t="str">
        <x:v>Internal SME</x:v>
      </x:c>
    </x:row>
    <x:row r="170">
      <x:c r="A170" s="141" t="str">
        <x:v>TR-0168</x:v>
      </x:c>
      <x:c r="B170" s="141" t="str">
        <x:v>SG-25028072609</x:v>
      </x:c>
      <x:c r="C170" s="141" t="str">
        <x:v>Q3</x:v>
      </x:c>
      <x:c r="D170" s="141" t="str">
        <x:v>Supply Chain and Planning</x:v>
      </x:c>
      <x:c r="E170" s="141" t="str">
        <x:v>Lean Manufacturing Basics</x:v>
      </x:c>
      <x:c r="F170" s="141" t="str">
        <x:v>Operational Excellence</x:v>
      </x:c>
      <x:c r="G170" s="171" t="n">
        <x:v>46252</x:v>
      </x:c>
      <x:c r="H170" s="141" t="n">
        <x:v>12</x:v>
      </x:c>
      <x:c r="I170" s="141" t="n">
        <x:v>76</x:v>
      </x:c>
      <x:c r="J170" s="141" t="str">
        <x:v>Completed</x:v>
      </x:c>
      <x:c r="K170" s="141" t="str">
        <x:v>No</x:v>
      </x:c>
      <x:c r="L170" s="173" t="n">
        <x:v>1272</x:v>
      </x:c>
      <x:c r="M170" s="141" t="str">
        <x:v>External Consultant</x:v>
      </x:c>
    </x:row>
    <x:row r="171">
      <x:c r="A171" s="141" t="str">
        <x:v>TR-0169</x:v>
      </x:c>
      <x:c r="B171" s="141" t="str">
        <x:v>SG-21022082663</x:v>
      </x:c>
      <x:c r="C171" s="141" t="str">
        <x:v>Q4</x:v>
      </x:c>
      <x:c r="D171" s="141" t="str">
        <x:v>Smartwatch Production</x:v>
      </x:c>
      <x:c r="E171" s="141" t="str">
        <x:v>Embedded Systems Fundamentals</x:v>
      </x:c>
      <x:c r="F171" s="141" t="str">
        <x:v>Technical</x:v>
      </x:c>
      <x:c r="G171" s="171" t="n">
        <x:v>46313</x:v>
      </x:c>
      <x:c r="H171" s="141" t="n">
        <x:v>20</x:v>
      </x:c>
      <x:c r="I171" s="141" t="n">
        <x:v>80</x:v>
      </x:c>
      <x:c r="J171" s="141" t="str">
        <x:v>Completed</x:v>
      </x:c>
      <x:c r="K171" s="141" t="str">
        <x:v>Yes</x:v>
      </x:c>
      <x:c r="L171" s="173" t="n">
        <x:v>3321</x:v>
      </x:c>
      <x:c r="M171" s="141" t="str">
        <x:v>Sabia Academy</x:v>
      </x:c>
    </x:row>
    <x:row r="172">
      <x:c r="A172" s="141" t="str">
        <x:v>TR-0170</x:v>
      </x:c>
      <x:c r="B172" s="141" t="str">
        <x:v>SG-21022082663</x:v>
      </x:c>
      <x:c r="C172" s="141" t="str">
        <x:v>Q4</x:v>
      </x:c>
      <x:c r="D172" s="141" t="str">
        <x:v>Smartwatch Production</x:v>
      </x:c>
      <x:c r="E172" s="141" t="str">
        <x:v>Problem Solving and Root Cause Analysis</x:v>
      </x:c>
      <x:c r="F172" s="141" t="str">
        <x:v>Quality</x:v>
      </x:c>
      <x:c r="G172" s="171" t="n">
        <x:v>46327</x:v>
      </x:c>
      <x:c r="H172" s="141" t="n">
        <x:v>10</x:v>
      </x:c>
      <x:c r="I172" s="141" t="n">
        <x:v>85</x:v>
      </x:c>
      <x:c r="J172" s="141" t="str">
        <x:v>Completed</x:v>
      </x:c>
      <x:c r="K172" s="141" t="str">
        <x:v>Yes</x:v>
      </x:c>
      <x:c r="L172" s="173" t="n">
        <x:v>4358</x:v>
      </x:c>
      <x:c r="M172" s="141" t="str">
        <x:v>Sabia Academy</x:v>
      </x:c>
    </x:row>
    <x:row r="173">
      <x:c r="A173" s="141" t="str">
        <x:v>TR-0171</x:v>
      </x:c>
      <x:c r="B173" s="141" t="str">
        <x:v>SG-23001082612</x:v>
      </x:c>
      <x:c r="C173" s="141" t="str">
        <x:v>Q3</x:v>
      </x:c>
      <x:c r="D173" s="141" t="str">
        <x:v>Engineering and Maintenance</x:v>
      </x:c>
      <x:c r="E173" s="141" t="str">
        <x:v>Power BI for HR and Operations</x:v>
      </x:c>
      <x:c r="F173" s="141" t="str">
        <x:v>Analytics</x:v>
      </x:c>
      <x:c r="G173" s="171" t="n">
        <x:v>46275</x:v>
      </x:c>
      <x:c r="H173" s="141" t="n">
        <x:v>12</x:v>
      </x:c>
      <x:c r="I173" s="141" t="n">
        <x:v>95</x:v>
      </x:c>
      <x:c r="J173" s="141" t="str">
        <x:v>Completed</x:v>
      </x:c>
      <x:c r="K173" s="141" t="str">
        <x:v>No</x:v>
      </x:c>
      <x:c r="L173" s="173" t="n">
        <x:v>3050</x:v>
      </x:c>
      <x:c r="M173" s="141" t="str">
        <x:v>BUET Industry Partner</x:v>
      </x:c>
    </x:row>
    <x:row r="174">
      <x:c r="A174" s="141" t="str">
        <x:v>TR-0172</x:v>
      </x:c>
      <x:c r="B174" s="141" t="str">
        <x:v>SG-23001082612</x:v>
      </x:c>
      <x:c r="C174" s="141" t="str">
        <x:v>Q3</x:v>
      </x:c>
      <x:c r="D174" s="141" t="str">
        <x:v>Engineering and Maintenance</x:v>
      </x:c>
      <x:c r="E174" s="141" t="str">
        <x:v>Problem Solving and Root Cause Analysis</x:v>
      </x:c>
      <x:c r="F174" s="141" t="str">
        <x:v>Quality</x:v>
      </x:c>
      <x:c r="G174" s="171" t="n">
        <x:v>46254</x:v>
      </x:c>
      <x:c r="H174" s="141" t="n">
        <x:v>10</x:v>
      </x:c>
      <x:c r="I174" s="141" t="n">
        <x:v>100</x:v>
      </x:c>
      <x:c r="J174" s="141" t="str">
        <x:v>Completed</x:v>
      </x:c>
      <x:c r="K174" s="141" t="str">
        <x:v>Yes</x:v>
      </x:c>
      <x:c r="L174" s="173" t="n">
        <x:v>3043</x:v>
      </x:c>
      <x:c r="M174" s="141" t="str">
        <x:v>BUET Industry Partner</x:v>
      </x:c>
    </x:row>
    <x:row r="175">
      <x:c r="A175" s="141" t="str">
        <x:v>TR-0173</x:v>
      </x:c>
      <x:c r="B175" s="141" t="str">
        <x:v>SG-23001082612</x:v>
      </x:c>
      <x:c r="C175" s="141" t="str">
        <x:v>Q3</x:v>
      </x:c>
      <x:c r="D175" s="141" t="str">
        <x:v>Engineering and Maintenance</x:v>
      </x:c>
      <x:c r="E175" s="141" t="str">
        <x:v>HRIS Employee Self Service</x:v>
      </x:c>
      <x:c r="F175" s="141" t="str">
        <x:v>Digital</x:v>
      </x:c>
      <x:c r="G175" s="171" t="n">
        <x:v>46275</x:v>
      </x:c>
      <x:c r="H175" s="141" t="n">
        <x:v>4</x:v>
      </x:c>
      <x:c r="I175" s="141" t="n">
        <x:v>80</x:v>
      </x:c>
      <x:c r="J175" s="141" t="str">
        <x:v>Completed</x:v>
      </x:c>
      <x:c r="K175" s="141" t="str">
        <x:v>No</x:v>
      </x:c>
      <x:c r="L175" s="173" t="n">
        <x:v>4400</x:v>
      </x:c>
      <x:c r="M175" s="141" t="str">
        <x:v>Internal SME</x:v>
      </x:c>
    </x:row>
    <x:row r="176">
      <x:c r="A176" s="141" t="str">
        <x:v>TR-0174</x:v>
      </x:c>
      <x:c r="B176" s="141" t="str">
        <x:v>SG-24024102614</x:v>
      </x:c>
      <x:c r="C176" s="141" t="str">
        <x:v>Q4</x:v>
      </x:c>
      <x:c r="D176" s="141" t="str">
        <x:v>Research and Development</x:v>
      </x:c>
      <x:c r="E176" s="141" t="str">
        <x:v>Bangladesh Labour Law Awareness</x:v>
      </x:c>
      <x:c r="F176" s="141" t="str">
        <x:v>Compliance</x:v>
      </x:c>
      <x:c r="G176" s="171" t="n">
        <x:v>46338</x:v>
      </x:c>
      <x:c r="H176" s="141" t="n">
        <x:v>6</x:v>
      </x:c>
      <x:c r="I176" s="141" t="n">
        <x:v>76</x:v>
      </x:c>
      <x:c r="J176" s="141" t="str">
        <x:v>Completed</x:v>
      </x:c>
      <x:c r="K176" s="141" t="str">
        <x:v>Yes</x:v>
      </x:c>
      <x:c r="L176" s="173" t="n">
        <x:v>3949</x:v>
      </x:c>
      <x:c r="M176" s="141" t="str">
        <x:v>BUET Industry Partner</x:v>
      </x:c>
    </x:row>
    <x:row r="177">
      <x:c r="A177" s="141" t="str">
        <x:v>TR-0175</x:v>
      </x:c>
      <x:c r="B177" s="141" t="str">
        <x:v>SG-31029061801</x:v>
      </x:c>
      <x:c r="C177" s="141" t="str">
        <x:v>Q3</x:v>
      </x:c>
      <x:c r="D177" s="141" t="str">
        <x:v>Administration and Security</x:v>
      </x:c>
      <x:c r="E177" s="141" t="str">
        <x:v>Precision Assembly Certification</x:v>
      </x:c>
      <x:c r="F177" s="141" t="str">
        <x:v>Technical</x:v>
      </x:c>
      <x:c r="G177" s="171" t="n">
        <x:v>46283</x:v>
      </x:c>
      <x:c r="H177" s="141" t="n">
        <x:v>16</x:v>
      </x:c>
      <x:c r="I177" s="141" t="n">
        <x:v>67</x:v>
      </x:c>
      <x:c r="J177" s="141" t="str">
        <x:v>Completed</x:v>
      </x:c>
      <x:c r="K177" s="141" t="str">
        <x:v>No</x:v>
      </x:c>
      <x:c r="L177" s="173" t="n">
        <x:v>2602</x:v>
      </x:c>
      <x:c r="M177" s="141" t="str">
        <x:v>Internal SME</x:v>
      </x:c>
    </x:row>
    <x:row r="178">
      <x:c r="A178" s="141" t="str">
        <x:v>TR-0176</x:v>
      </x:c>
      <x:c r="B178" s="141" t="str">
        <x:v>SG-21026012031</x:v>
      </x:c>
      <x:c r="C178" s="141" t="str">
        <x:v>Q3</x:v>
      </x:c>
      <x:c r="D178" s="141" t="str">
        <x:v>Smartwatch Production</x:v>
      </x:c>
      <x:c r="E178" s="141" t="str">
        <x:v>Supervisor Essentials</x:v>
      </x:c>
      <x:c r="F178" s="141" t="str">
        <x:v>Leadership</x:v>
      </x:c>
      <x:c r="G178" s="171" t="n">
        <x:v>46243</x:v>
      </x:c>
      <x:c r="H178" s="141" t="n">
        <x:v>12</x:v>
      </x:c>
      <x:c r="I178" s="141" t="n">
        <x:v>70</x:v>
      </x:c>
      <x:c r="J178" s="141" t="str">
        <x:v>Completed</x:v>
      </x:c>
      <x:c r="K178" s="141" t="str">
        <x:v>No</x:v>
      </x:c>
      <x:c r="L178" s="173" t="n">
        <x:v>4013</x:v>
      </x:c>
      <x:c r="M178" s="141" t="str">
        <x:v>Sabia Academy</x:v>
      </x:c>
    </x:row>
    <x:row r="179">
      <x:c r="A179" s="141" t="str">
        <x:v>TR-0177</x:v>
      </x:c>
      <x:c r="B179" s="141" t="str">
        <x:v>SG-21017062653</x:v>
      </x:c>
      <x:c r="C179" s="141" t="str">
        <x:v>Q3</x:v>
      </x:c>
      <x:c r="D179" s="141" t="str">
        <x:v>Smartwatch Production</x:v>
      </x:c>
      <x:c r="E179" s="141" t="str">
        <x:v>Quality at Source</x:v>
      </x:c>
      <x:c r="F179" s="141" t="str">
        <x:v>Quality</x:v>
      </x:c>
      <x:c r="G179" s="171" t="n">
        <x:v>46274</x:v>
      </x:c>
      <x:c r="H179" s="141" t="n">
        <x:v>8</x:v>
      </x:c>
      <x:c r="I179" s="141" t="n">
        <x:v>83</x:v>
      </x:c>
      <x:c r="J179" s="141" t="str">
        <x:v>Completed</x:v>
      </x:c>
      <x:c r="K179" s="141" t="str">
        <x:v>Yes</x:v>
      </x:c>
      <x:c r="L179" s="173" t="n">
        <x:v>1949</x:v>
      </x:c>
      <x:c r="M179" s="141" t="str">
        <x:v>BUET Industry Partner</x:v>
      </x:c>
    </x:row>
    <x:row r="180">
      <x:c r="A180" s="141" t="str">
        <x:v>TR-0178</x:v>
      </x:c>
      <x:c r="B180" s="141" t="str">
        <x:v>SG-21017062653</x:v>
      </x:c>
      <x:c r="C180" s="141" t="str">
        <x:v>Q3</x:v>
      </x:c>
      <x:c r="D180" s="141" t="str">
        <x:v>Smartwatch Production</x:v>
      </x:c>
      <x:c r="E180" s="141" t="str">
        <x:v>Precision Assembly Certification</x:v>
      </x:c>
      <x:c r="F180" s="141" t="str">
        <x:v>Technical</x:v>
      </x:c>
      <x:c r="G180" s="171" t="n">
        <x:v>46272</x:v>
      </x:c>
      <x:c r="H180" s="141" t="n">
        <x:v>16</x:v>
      </x:c>
      <x:c r="I180" s="141" t="n">
        <x:v>90</x:v>
      </x:c>
      <x:c r="J180" s="141" t="str">
        <x:v>Completed</x:v>
      </x:c>
      <x:c r="K180" s="141" t="str">
        <x:v>Yes</x:v>
      </x:c>
      <x:c r="L180" s="173" t="n">
        <x:v>4393</x:v>
      </x:c>
      <x:c r="M180" s="141" t="str">
        <x:v>BUET Industry Partner</x:v>
      </x:c>
    </x:row>
    <x:row r="181">
      <x:c r="A181" s="141" t="str">
        <x:v>TR-0179</x:v>
      </x:c>
      <x:c r="B181" s="141" t="str">
        <x:v>SG-29008072606</x:v>
      </x:c>
      <x:c r="C181" s="141" t="str">
        <x:v>Q3</x:v>
      </x:c>
      <x:c r="D181" s="141" t="str">
        <x:v>Sales Distribution and Service</x:v>
      </x:c>
      <x:c r="E181" s="141" t="str">
        <x:v>HRIS Employee Self Service</x:v>
      </x:c>
      <x:c r="F181" s="141" t="str">
        <x:v>Digital</x:v>
      </x:c>
      <x:c r="G181" s="171" t="n">
        <x:v>46249</x:v>
      </x:c>
      <x:c r="H181" s="141" t="n">
        <x:v>4</x:v>
      </x:c>
      <x:c r="I181" s="141" t="n">
        <x:v>76</x:v>
      </x:c>
      <x:c r="J181" s="141" t="str">
        <x:v>Completed</x:v>
      </x:c>
      <x:c r="K181" s="141" t="str">
        <x:v>No</x:v>
      </x:c>
      <x:c r="L181" s="173" t="n">
        <x:v>4785</x:v>
      </x:c>
      <x:c r="M181" s="141" t="str">
        <x:v>Internal SME</x:v>
      </x:c>
    </x:row>
    <x:row r="182">
      <x:c r="A182" s="141" t="str">
        <x:v>TR-0180</x:v>
      </x:c>
      <x:c r="B182" s="141" t="str">
        <x:v>SG-12716102104</x:v>
      </x:c>
      <x:c r="C182" s="141" t="str">
        <x:v>Q3</x:v>
      </x:c>
      <x:c r="D182" s="141" t="str">
        <x:v>Human Resources and People</x:v>
      </x:c>
      <x:c r="E182" s="141" t="str">
        <x:v>Bangladesh Labour Law Awareness</x:v>
      </x:c>
      <x:c r="F182" s="141" t="str">
        <x:v>Compliance</x:v>
      </x:c>
      <x:c r="G182" s="171" t="n">
        <x:v>46278</x:v>
      </x:c>
      <x:c r="H182" s="141" t="n">
        <x:v>6</x:v>
      </x:c>
      <x:c r="I182" s="141" t="n">
        <x:v>68</x:v>
      </x:c>
      <x:c r="J182" s="141" t="str">
        <x:v>Completed</x:v>
      </x:c>
      <x:c r="K182" s="141" t="str">
        <x:v>No</x:v>
      </x:c>
      <x:c r="L182" s="173" t="n">
        <x:v>3588</x:v>
      </x:c>
      <x:c r="M182" s="141" t="str">
        <x:v>External Consultant</x:v>
      </x:c>
    </x:row>
    <x:row r="183">
      <x:c r="A183" s="141" t="str">
        <x:v>TR-0181</x:v>
      </x:c>
      <x:c r="B183" s="141" t="str">
        <x:v>SG-30023052603</x:v>
      </x:c>
      <x:c r="C183" s="141" t="str">
        <x:v>Q2</x:v>
      </x:c>
      <x:c r="D183" s="141" t="str">
        <x:v>EHS and Regulatory Compliance</x:v>
      </x:c>
      <x:c r="E183" s="141" t="str">
        <x:v>ESD Safety and Handling</x:v>
      </x:c>
      <x:c r="F183" s="141" t="str">
        <x:v>Compliance</x:v>
      </x:c>
      <x:c r="G183" s="171" t="n">
        <x:v>46202</x:v>
      </x:c>
      <x:c r="H183" s="141" t="n">
        <x:v>8</x:v>
      </x:c>
      <x:c r="I183" s="141" t="n">
        <x:v>79</x:v>
      </x:c>
      <x:c r="J183" s="141" t="str">
        <x:v>Completed</x:v>
      </x:c>
      <x:c r="K183" s="141" t="str">
        <x:v>Yes</x:v>
      </x:c>
      <x:c r="L183" s="173" t="n">
        <x:v>3402</x:v>
      </x:c>
      <x:c r="M183" s="141" t="str">
        <x:v>BUET Industry Partner</x:v>
      </x:c>
    </x:row>
    <x:row r="184">
      <x:c r="A184" s="141" t="str">
        <x:v>TR-0182</x:v>
      </x:c>
      <x:c r="B184" s="141" t="str">
        <x:v>SG-23026031803</x:v>
      </x:c>
      <x:c r="C184" s="141" t="str">
        <x:v>Q4</x:v>
      </x:c>
      <x:c r="D184" s="141" t="str">
        <x:v>Engineering and Maintenance</x:v>
      </x:c>
      <x:c r="E184" s="141" t="str">
        <x:v>Lean Manufacturing Basics</x:v>
      </x:c>
      <x:c r="F184" s="141" t="str">
        <x:v>Operational Excellence</x:v>
      </x:c>
      <x:c r="G184" s="171" t="n">
        <x:v>46332</x:v>
      </x:c>
      <x:c r="H184" s="141" t="n">
        <x:v>12</x:v>
      </x:c>
      <x:c r="I184" s="141" t="n">
        <x:v>81</x:v>
      </x:c>
      <x:c r="J184" s="141" t="str">
        <x:v>Completed</x:v>
      </x:c>
      <x:c r="K184" s="141" t="str">
        <x:v>No</x:v>
      </x:c>
      <x:c r="L184" s="173" t="n">
        <x:v>4703</x:v>
      </x:c>
      <x:c r="M184" s="141" t="str">
        <x:v>Internal SME</x:v>
      </x:c>
    </x:row>
    <x:row r="185">
      <x:c r="A185" s="141" t="str">
        <x:v>TR-0183</x:v>
      </x:c>
      <x:c r="B185" s="141" t="str">
        <x:v>SG-23026031803</x:v>
      </x:c>
      <x:c r="C185" s="141" t="str">
        <x:v>Q4</x:v>
      </x:c>
      <x:c r="D185" s="141" t="str">
        <x:v>Engineering and Maintenance</x:v>
      </x:c>
      <x:c r="E185" s="141" t="str">
        <x:v>Supervisor Essentials</x:v>
      </x:c>
      <x:c r="F185" s="141" t="str">
        <x:v>Leadership</x:v>
      </x:c>
      <x:c r="G185" s="171" t="n">
        <x:v>46307</x:v>
      </x:c>
      <x:c r="H185" s="141" t="n">
        <x:v>12</x:v>
      </x:c>
      <x:c r="I185" s="141" t="n">
        <x:v>57</x:v>
      </x:c>
      <x:c r="J185" s="141" t="str">
        <x:v>Failed</x:v>
      </x:c>
      <x:c r="K185" s="141" t="str">
        <x:v>No</x:v>
      </x:c>
      <x:c r="L185" s="173" t="n">
        <x:v>2091</x:v>
      </x:c>
      <x:c r="M185" s="141" t="str">
        <x:v>External Consultant</x:v>
      </x:c>
    </x:row>
    <x:row r="186">
      <x:c r="A186" s="141" t="str">
        <x:v>TR-0184</x:v>
      </x:c>
      <x:c r="B186" s="141" t="str">
        <x:v>SG-21002032244</x:v>
      </x:c>
      <x:c r="C186" s="141" t="str">
        <x:v>Q3</x:v>
      </x:c>
      <x:c r="D186" s="141" t="str">
        <x:v>Smartwatch Production</x:v>
      </x:c>
      <x:c r="E186" s="141" t="str">
        <x:v>Problem Solving and Root Cause Analysis</x:v>
      </x:c>
      <x:c r="F186" s="141" t="str">
        <x:v>Quality</x:v>
      </x:c>
      <x:c r="G186" s="171" t="n">
        <x:v>46259</x:v>
      </x:c>
      <x:c r="H186" s="141" t="n">
        <x:v>10</x:v>
      </x:c>
      <x:c r="I186" s="141" t="n">
        <x:v>87</x:v>
      </x:c>
      <x:c r="J186" s="141" t="str">
        <x:v>Completed</x:v>
      </x:c>
      <x:c r="K186" s="141" t="str">
        <x:v>Yes</x:v>
      </x:c>
      <x:c r="L186" s="173" t="n">
        <x:v>4530</x:v>
      </x:c>
      <x:c r="M186" s="141" t="str">
        <x:v>BUET Industry Partner</x:v>
      </x:c>
    </x:row>
    <x:row r="187">
      <x:c r="A187" s="141" t="str">
        <x:v>TR-0185</x:v>
      </x:c>
      <x:c r="B187" s="141" t="str">
        <x:v>SG-21002032244</x:v>
      </x:c>
      <x:c r="C187" s="141" t="str">
        <x:v>Q2</x:v>
      </x:c>
      <x:c r="D187" s="141" t="str">
        <x:v>Smartwatch Production</x:v>
      </x:c>
      <x:c r="E187" s="141" t="str">
        <x:v>ESD Safety and Handling</x:v>
      </x:c>
      <x:c r="F187" s="141" t="str">
        <x:v>Compliance</x:v>
      </x:c>
      <x:c r="G187" s="171" t="n">
        <x:v>46186</x:v>
      </x:c>
      <x:c r="H187" s="141" t="n">
        <x:v>8</x:v>
      </x:c>
      <x:c r="I187" s="141" t="n">
        <x:v>81</x:v>
      </x:c>
      <x:c r="J187" s="141" t="str">
        <x:v>Completed</x:v>
      </x:c>
      <x:c r="K187" s="141" t="str">
        <x:v>Yes</x:v>
      </x:c>
      <x:c r="L187" s="173" t="n">
        <x:v>3216</x:v>
      </x:c>
      <x:c r="M187" s="141" t="str">
        <x:v>External Consultant</x:v>
      </x:c>
    </x:row>
    <x:row r="188">
      <x:c r="A188" s="141" t="str">
        <x:v>TR-0186</x:v>
      </x:c>
      <x:c r="B188" s="141" t="str">
        <x:v>SG-21003032210</x:v>
      </x:c>
      <x:c r="C188" s="141" t="str">
        <x:v>Q2</x:v>
      </x:c>
      <x:c r="D188" s="141" t="str">
        <x:v>Smartwatch Production</x:v>
      </x:c>
      <x:c r="E188" s="141" t="str">
        <x:v>Bangladesh Labour Law Awareness</x:v>
      </x:c>
      <x:c r="F188" s="141" t="str">
        <x:v>Compliance</x:v>
      </x:c>
      <x:c r="G188" s="171" t="n">
        <x:v>46155</x:v>
      </x:c>
      <x:c r="H188" s="141" t="n">
        <x:v>6</x:v>
      </x:c>
      <x:c r="I188" s="141" t="n">
        <x:v>88</x:v>
      </x:c>
      <x:c r="J188" s="141" t="str">
        <x:v>Completed</x:v>
      </x:c>
      <x:c r="K188" s="141" t="str">
        <x:v>Yes</x:v>
      </x:c>
      <x:c r="L188" s="173" t="n">
        <x:v>2109</x:v>
      </x:c>
      <x:c r="M188" s="141" t="str">
        <x:v>Sabia Academy</x:v>
      </x:c>
    </x:row>
    <x:row r="189">
      <x:c r="A189" s="141" t="str">
        <x:v>TR-0187</x:v>
      </x:c>
      <x:c r="B189" s="141" t="str">
        <x:v>SG-21003032210</x:v>
      </x:c>
      <x:c r="C189" s="141" t="str">
        <x:v>Q4</x:v>
      </x:c>
      <x:c r="D189" s="141" t="str">
        <x:v>Smartwatch Production</x:v>
      </x:c>
      <x:c r="E189" s="141" t="str">
        <x:v>Precision Assembly Certification</x:v>
      </x:c>
      <x:c r="F189" s="141" t="str">
        <x:v>Technical</x:v>
      </x:c>
      <x:c r="G189" s="171" t="n">
        <x:v>46304</x:v>
      </x:c>
      <x:c r="H189" s="141" t="n">
        <x:v>16</x:v>
      </x:c>
      <x:c r="I189" s="141" t="n">
        <x:v>84</x:v>
      </x:c>
      <x:c r="J189" s="141" t="str">
        <x:v>Completed</x:v>
      </x:c>
      <x:c r="K189" s="141" t="str">
        <x:v>Yes</x:v>
      </x:c>
      <x:c r="L189" s="173" t="n">
        <x:v>2641</x:v>
      </x:c>
      <x:c r="M189" s="141" t="str">
        <x:v>Internal SME</x:v>
      </x:c>
    </x:row>
    <x:row r="190">
      <x:c r="A190" s="141" t="str">
        <x:v>TR-0188</x:v>
      </x:c>
      <x:c r="B190" s="141" t="str">
        <x:v>SG-23005062505</x:v>
      </x:c>
      <x:c r="C190" s="141" t="str">
        <x:v>Q4</x:v>
      </x:c>
      <x:c r="D190" s="141" t="str">
        <x:v>Engineering and Maintenance</x:v>
      </x:c>
      <x:c r="E190" s="141" t="str">
        <x:v>Problem Solving and Root Cause Analysis</x:v>
      </x:c>
      <x:c r="F190" s="141" t="str">
        <x:v>Quality</x:v>
      </x:c>
      <x:c r="G190" s="171" t="n">
        <x:v>46330</x:v>
      </x:c>
      <x:c r="H190" s="141" t="n">
        <x:v>10</x:v>
      </x:c>
      <x:c r="I190" s="141" t="n">
        <x:v>77</x:v>
      </x:c>
      <x:c r="J190" s="141" t="str">
        <x:v>Completed</x:v>
      </x:c>
      <x:c r="K190" s="141" t="str">
        <x:v>Yes</x:v>
      </x:c>
      <x:c r="L190" s="173" t="n">
        <x:v>1861</x:v>
      </x:c>
      <x:c r="M190" s="141" t="str">
        <x:v>Sabia Academy</x:v>
      </x:c>
    </x:row>
    <x:row r="191">
      <x:c r="A191" s="141" t="str">
        <x:v>TR-0189</x:v>
      </x:c>
      <x:c r="B191" s="141" t="str">
        <x:v>SG-25010042607</x:v>
      </x:c>
      <x:c r="C191" s="141" t="str">
        <x:v>Q3</x:v>
      </x:c>
      <x:c r="D191" s="141" t="str">
        <x:v>Supply Chain and Planning</x:v>
      </x:c>
      <x:c r="E191" s="141" t="str">
        <x:v>Precision Assembly Certification</x:v>
      </x:c>
      <x:c r="F191" s="141" t="str">
        <x:v>Technical</x:v>
      </x:c>
      <x:c r="G191" s="171" t="n">
        <x:v>46290</x:v>
      </x:c>
      <x:c r="H191" s="141" t="n">
        <x:v>16</x:v>
      </x:c>
      <x:c r="I191" s="141" t="n">
        <x:v>68</x:v>
      </x:c>
      <x:c r="J191" s="141" t="str">
        <x:v>Completed</x:v>
      </x:c>
      <x:c r="K191" s="141" t="str">
        <x:v>No</x:v>
      </x:c>
      <x:c r="L191" s="173" t="n">
        <x:v>2375</x:v>
      </x:c>
      <x:c r="M191" s="141" t="str">
        <x:v>Sabia Academy</x:v>
      </x:c>
    </x:row>
    <x:row r="192">
      <x:c r="A192" s="141" t="str">
        <x:v>TR-0190</x:v>
      </x:c>
      <x:c r="B192" s="141" t="str">
        <x:v>SG-21012092657</x:v>
      </x:c>
      <x:c r="C192" s="141" t="str">
        <x:v>Q4</x:v>
      </x:c>
      <x:c r="D192" s="141" t="str">
        <x:v>Smartwatch Production</x:v>
      </x:c>
      <x:c r="E192" s="141" t="str">
        <x:v>Problem Solving and Root Cause Analysis</x:v>
      </x:c>
      <x:c r="F192" s="141" t="str">
        <x:v>Quality</x:v>
      </x:c>
      <x:c r="G192" s="171" t="n">
        <x:v>46350</x:v>
      </x:c>
      <x:c r="H192" s="141" t="n">
        <x:v>10</x:v>
      </x:c>
      <x:c r="I192" s="141" t="n">
        <x:v>66</x:v>
      </x:c>
      <x:c r="J192" s="141" t="str">
        <x:v>Completed</x:v>
      </x:c>
      <x:c r="K192" s="141" t="str">
        <x:v>No</x:v>
      </x:c>
      <x:c r="L192" s="173" t="n">
        <x:v>3690</x:v>
      </x:c>
      <x:c r="M192" s="141" t="str">
        <x:v>BUET Industry Partner</x:v>
      </x:c>
    </x:row>
    <x:row r="193">
      <x:c r="A193" s="141" t="str">
        <x:v>TR-0191</x:v>
      </x:c>
      <x:c r="B193" s="141" t="str">
        <x:v>SG-22024042612</x:v>
      </x:c>
      <x:c r="C193" s="141" t="str">
        <x:v>Q3</x:v>
      </x:c>
      <x:c r="D193" s="141" t="str">
        <x:v>Quality Assurance</x:v>
      </x:c>
      <x:c r="E193" s="141" t="str">
        <x:v>Problem Solving and Root Cause Analysis</x:v>
      </x:c>
      <x:c r="F193" s="141" t="str">
        <x:v>Quality</x:v>
      </x:c>
      <x:c r="G193" s="171" t="n">
        <x:v>46282</x:v>
      </x:c>
      <x:c r="H193" s="141" t="n">
        <x:v>10</x:v>
      </x:c>
      <x:c r="I193" s="141" t="n">
        <x:v>70</x:v>
      </x:c>
      <x:c r="J193" s="141" t="str">
        <x:v>Completed</x:v>
      </x:c>
      <x:c r="K193" s="141" t="str">
        <x:v>No</x:v>
      </x:c>
      <x:c r="L193" s="173" t="n">
        <x:v>3947</x:v>
      </x:c>
      <x:c r="M193" s="141" t="str">
        <x:v>External Consultant</x:v>
      </x:c>
    </x:row>
    <x:row r="194">
      <x:c r="A194" s="141" t="str">
        <x:v>TR-0192</x:v>
      </x:c>
      <x:c r="B194" s="141" t="str">
        <x:v>SG-21009092660</x:v>
      </x:c>
      <x:c r="C194" s="141" t="str">
        <x:v>Q4</x:v>
      </x:c>
      <x:c r="D194" s="141" t="str">
        <x:v>Smartwatch Production</x:v>
      </x:c>
      <x:c r="E194" s="141" t="str">
        <x:v>Power BI for HR and Operations</x:v>
      </x:c>
      <x:c r="F194" s="141" t="str">
        <x:v>Analytics</x:v>
      </x:c>
      <x:c r="G194" s="171" t="n">
        <x:v>46366</x:v>
      </x:c>
      <x:c r="H194" s="141" t="n">
        <x:v>12</x:v>
      </x:c>
      <x:c r="I194" s="141" t="n">
        <x:v>88</x:v>
      </x:c>
      <x:c r="J194" s="141" t="str">
        <x:v>Completed</x:v>
      </x:c>
      <x:c r="K194" s="141" t="str">
        <x:v>No</x:v>
      </x:c>
      <x:c r="L194" s="173" t="n">
        <x:v>3353</x:v>
      </x:c>
      <x:c r="M194" s="141" t="str">
        <x:v>Sabia Academy</x:v>
      </x:c>
    </x:row>
    <x:row r="195">
      <x:c r="A195" s="141" t="str">
        <x:v>TR-0193</x:v>
      </x:c>
      <x:c r="B195" s="141" t="str">
        <x:v>SG-21002032026</x:v>
      </x:c>
      <x:c r="C195" s="141" t="str">
        <x:v>Q4</x:v>
      </x:c>
      <x:c r="D195" s="141" t="str">
        <x:v>Smartwatch Production</x:v>
      </x:c>
      <x:c r="E195" s="141" t="str">
        <x:v>Bangladesh Labour Law Awareness</x:v>
      </x:c>
      <x:c r="F195" s="141" t="str">
        <x:v>Compliance</x:v>
      </x:c>
      <x:c r="G195" s="171" t="n">
        <x:v>46322</x:v>
      </x:c>
      <x:c r="H195" s="141" t="n">
        <x:v>6</x:v>
      </x:c>
      <x:c r="I195" s="141" t="n">
        <x:v>80</x:v>
      </x:c>
      <x:c r="J195" s="141" t="str">
        <x:v>Completed</x:v>
      </x:c>
      <x:c r="K195" s="141" t="str">
        <x:v>Yes</x:v>
      </x:c>
      <x:c r="L195" s="173" t="n">
        <x:v>4331</x:v>
      </x:c>
      <x:c r="M195" s="141" t="str">
        <x:v>External Consultant</x:v>
      </x:c>
    </x:row>
    <x:row r="196">
      <x:c r="A196" s="141" t="str">
        <x:v>TR-0194</x:v>
      </x:c>
      <x:c r="B196" s="141" t="str">
        <x:v>SG-22027072502</x:v>
      </x:c>
      <x:c r="C196" s="141" t="str">
        <x:v>Q2</x:v>
      </x:c>
      <x:c r="D196" s="141" t="str">
        <x:v>Quality Assurance</x:v>
      </x:c>
      <x:c r="E196" s="141" t="str">
        <x:v>ESD Safety and Handling</x:v>
      </x:c>
      <x:c r="F196" s="141" t="str">
        <x:v>Compliance</x:v>
      </x:c>
      <x:c r="G196" s="171" t="n">
        <x:v>46192</x:v>
      </x:c>
      <x:c r="H196" s="141" t="n">
        <x:v>8</x:v>
      </x:c>
      <x:c r="I196" s="141" t="n">
        <x:v>75</x:v>
      </x:c>
      <x:c r="J196" s="141" t="str">
        <x:v>Completed</x:v>
      </x:c>
      <x:c r="K196" s="141" t="str">
        <x:v>Yes</x:v>
      </x:c>
      <x:c r="L196" s="173" t="n">
        <x:v>1705</x:v>
      </x:c>
      <x:c r="M196" s="141" t="str">
        <x:v>External Consultant</x:v>
      </x:c>
    </x:row>
  </x:sheetData>
  <x:mergeCells>
    <x:mergeCell ref="A1:M2"/>
    <x:mergeCell ref="A3:M3"/>
  </x:mergeCells>
  <x:conditionalFormatting sqref="I6:I196">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51f233d6e81c4a64"/>
  </x:tableParts>
</x:worksheet>
</file>

<file path=xl/worksheets/sheet11.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28"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x:c r="A1" s="88" t="str">
        <x:v>Quarterly Performance Management</x:v>
      </x:c>
      <x:c r="B1" s="88"/>
      <x:c r="C1" s="88"/>
      <x:c r="D1" s="88"/>
      <x:c r="E1" s="88"/>
      <x:c r="F1" s="88"/>
      <x:c r="G1" s="88"/>
      <x:c r="H1" s="88"/>
      <x:c r="I1" s="88"/>
      <x:c r="J1" s="88"/>
      <x:c r="K1" s="88"/>
    </x:row>
    <x:row r="2">
      <x:c r="A2" s="88"/>
      <x:c r="B2" s="88"/>
      <x:c r="C2" s="88"/>
      <x:c r="D2" s="88"/>
      <x:c r="E2" s="88"/>
      <x:c r="F2" s="88"/>
      <x:c r="G2" s="88"/>
      <x:c r="H2" s="88"/>
      <x:c r="I2" s="88"/>
      <x:c r="J2" s="88"/>
      <x:c r="K2" s="88"/>
    </x:row>
    <x:row r="3">
      <x:c r="A3" s="13" t="str">
        <x:v>Employee goals, quality, behaviour, check-ins and development plans show the link between people practice and operating results.</x:v>
      </x:c>
      <x:c r="B3" s="13"/>
      <x:c r="C3" s="13"/>
      <x:c r="D3" s="13"/>
      <x:c r="E3" s="13"/>
      <x:c r="F3" s="13"/>
      <x:c r="G3" s="13"/>
      <x:c r="H3" s="13"/>
      <x:c r="I3" s="13"/>
      <x:c r="J3" s="13"/>
      <x:c r="K3" s="13"/>
    </x:row>
    <x:row r="5" ht="30" customHeight="1">
      <x:c r="A5" s="135" t="str">
        <x:v>Performance_Record_ID</x:v>
      </x:c>
      <x:c r="B5" s="135" t="str">
        <x:v>Employee_ID</x:v>
      </x:c>
      <x:c r="C5" s="135" t="str">
        <x:v>Quarter</x:v>
      </x:c>
      <x:c r="D5" s="135" t="str">
        <x:v>Department</x:v>
      </x:c>
      <x:c r="E5" s="135" t="str">
        <x:v>Goal_Achievement_Score</x:v>
      </x:c>
      <x:c r="F5" s="135" t="str">
        <x:v>Quality_Score</x:v>
      </x:c>
      <x:c r="G5" s="135" t="str">
        <x:v>Behaviour_Score</x:v>
      </x:c>
      <x:c r="H5" s="135" t="str">
        <x:v>Overall_Score</x:v>
      </x:c>
      <x:c r="I5" s="135" t="str">
        <x:v>Performance_Rating</x:v>
      </x:c>
      <x:c r="J5" s="135" t="str">
        <x:v>Manager_Checkin_Completed</x:v>
      </x:c>
      <x:c r="K5" s="135" t="str">
        <x:v>Development_Plan_Created</x:v>
      </x:c>
    </x:row>
    <x:row r="6">
      <x:c r="A6" s="141" t="str">
        <x:v>PF-0001</x:v>
      </x:c>
      <x:c r="B6" s="141" t="str">
        <x:v>SG-12720082301</x:v>
      </x:c>
      <x:c r="C6" s="141" t="str">
        <x:v>Q1</x:v>
      </x:c>
      <x:c r="D6" s="141" t="str">
        <x:v>Human Resources and People</x:v>
      </x:c>
      <x:c r="E6" s="141" t="n">
        <x:v>51</x:v>
      </x:c>
      <x:c r="F6" s="141" t="n">
        <x:v>68</x:v>
      </x:c>
      <x:c r="G6" s="141" t="n">
        <x:v>67</x:v>
      </x:c>
      <x:c r="H6" s="141" t="n">
        <x:v>60.1</x:v>
      </x:c>
      <x:c r="I6" s="141" t="str">
        <x:v>Needs Improvement</x:v>
      </x:c>
      <x:c r="J6" s="141" t="str">
        <x:v>Yes</x:v>
      </x:c>
      <x:c r="K6" s="141" t="str">
        <x:v>No</x:v>
      </x:c>
    </x:row>
    <x:row r="7">
      <x:c r="A7" s="141" t="str">
        <x:v>PF-0006</x:v>
      </x:c>
      <x:c r="B7" s="141" t="str">
        <x:v>SG-12705041803</x:v>
      </x:c>
      <x:c r="C7" s="141" t="str">
        <x:v>Q1</x:v>
      </x:c>
      <x:c r="D7" s="141" t="str">
        <x:v>Human Resources and People</x:v>
      </x:c>
      <x:c r="E7" s="141" t="n">
        <x:v>53</x:v>
      </x:c>
      <x:c r="F7" s="141" t="n">
        <x:v>64</x:v>
      </x:c>
      <x:c r="G7" s="141" t="n">
        <x:v>54</x:v>
      </x:c>
      <x:c r="H7" s="141" t="n">
        <x:v>57</x:v>
      </x:c>
      <x:c r="I7" s="141" t="str">
        <x:v>Needs Improvement</x:v>
      </x:c>
      <x:c r="J7" s="141" t="str">
        <x:v>No</x:v>
      </x:c>
      <x:c r="K7" s="141" t="str">
        <x:v>Yes</x:v>
      </x:c>
    </x:row>
    <x:row r="8">
      <x:c r="A8" s="141" t="str">
        <x:v>PF-0007</x:v>
      </x:c>
      <x:c r="B8" s="141" t="str">
        <x:v>SG-12716102104</x:v>
      </x:c>
      <x:c r="C8" s="141" t="str">
        <x:v>Q1</x:v>
      </x:c>
      <x:c r="D8" s="141" t="str">
        <x:v>Human Resources and People</x:v>
      </x:c>
      <x:c r="E8" s="141" t="n">
        <x:v>60</x:v>
      </x:c>
      <x:c r="F8" s="141" t="n">
        <x:v>54</x:v>
      </x:c>
      <x:c r="G8" s="141" t="n">
        <x:v>54</x:v>
      </x:c>
      <x:c r="H8" s="141" t="n">
        <x:v>56.7</x:v>
      </x:c>
      <x:c r="I8" s="141" t="str">
        <x:v>Needs Improvement</x:v>
      </x:c>
      <x:c r="J8" s="141" t="str">
        <x:v>Yes</x:v>
      </x:c>
      <x:c r="K8" s="141" t="str">
        <x:v>No</x:v>
      </x:c>
    </x:row>
    <x:row r="9">
      <x:c r="A9" s="141" t="str">
        <x:v>PF-0008</x:v>
      </x:c>
      <x:c r="B9" s="141" t="str">
        <x:v>SG-12716102104</x:v>
      </x:c>
      <x:c r="C9" s="141" t="str">
        <x:v>Q2</x:v>
      </x:c>
      <x:c r="D9" s="141" t="str">
        <x:v>Human Resources and People</x:v>
      </x:c>
      <x:c r="E9" s="141" t="n">
        <x:v>75</x:v>
      </x:c>
      <x:c r="F9" s="141" t="n">
        <x:v>65</x:v>
      </x:c>
      <x:c r="G9" s="141" t="n">
        <x:v>68</x:v>
      </x:c>
      <x:c r="H9" s="141" t="n">
        <x:v>70.1</x:v>
      </x:c>
      <x:c r="I9" s="141" t="str">
        <x:v>Meets</x:v>
      </x:c>
      <x:c r="J9" s="141" t="str">
        <x:v>Yes</x:v>
      </x:c>
      <x:c r="K9" s="141" t="str">
        <x:v>Yes</x:v>
      </x:c>
    </x:row>
    <x:row r="10">
      <x:c r="A10" s="141" t="str">
        <x:v>PF-0009</x:v>
      </x:c>
      <x:c r="B10" s="141" t="str">
        <x:v>SG-12716102104</x:v>
      </x:c>
      <x:c r="C10" s="141" t="str">
        <x:v>Q3</x:v>
      </x:c>
      <x:c r="D10" s="141" t="str">
        <x:v>Human Resources and People</x:v>
      </x:c>
      <x:c r="E10" s="141" t="n">
        <x:v>78</x:v>
      </x:c>
      <x:c r="F10" s="141" t="n">
        <x:v>70</x:v>
      </x:c>
      <x:c r="G10" s="141" t="n">
        <x:v>87</x:v>
      </x:c>
      <x:c r="H10" s="141" t="n">
        <x:v>77</x:v>
      </x:c>
      <x:c r="I10" s="141" t="str">
        <x:v>Meets</x:v>
      </x:c>
      <x:c r="J10" s="141" t="str">
        <x:v>No</x:v>
      </x:c>
      <x:c r="K10" s="141" t="str">
        <x:v>Yes</x:v>
      </x:c>
    </x:row>
    <x:row r="11">
      <x:c r="A11" s="141" t="str">
        <x:v>PF-0010</x:v>
      </x:c>
      <x:c r="B11" s="141" t="str">
        <x:v>SG-12716102104</x:v>
      </x:c>
      <x:c r="C11" s="141" t="str">
        <x:v>Q4</x:v>
      </x:c>
      <x:c r="D11" s="141" t="str">
        <x:v>Human Resources and People</x:v>
      </x:c>
      <x:c r="E11" s="141" t="n">
        <x:v>100</x:v>
      </x:c>
      <x:c r="F11" s="141" t="n">
        <x:v>96</x:v>
      </x:c>
      <x:c r="G11" s="141" t="n">
        <x:v>91</x:v>
      </x:c>
      <x:c r="H11" s="141" t="n">
        <x:v>96.8</x:v>
      </x:c>
      <x:c r="I11" s="141" t="str">
        <x:v>Exceptional</x:v>
      </x:c>
      <x:c r="J11" s="141" t="str">
        <x:v>No</x:v>
      </x:c>
      <x:c r="K11" s="141" t="str">
        <x:v>Yes</x:v>
      </x:c>
    </x:row>
    <x:row r="12">
      <x:c r="A12" s="141" t="str">
        <x:v>PF-0011</x:v>
      </x:c>
      <x:c r="B12" s="141" t="str">
        <x:v>SG-21024102301</x:v>
      </x:c>
      <x:c r="C12" s="141" t="str">
        <x:v>Q1</x:v>
      </x:c>
      <x:c r="D12" s="141" t="str">
        <x:v>Smartwatch Production</x:v>
      </x:c>
      <x:c r="E12" s="141" t="n">
        <x:v>64</x:v>
      </x:c>
      <x:c r="F12" s="141" t="n">
        <x:v>64</x:v>
      </x:c>
      <x:c r="G12" s="141" t="n">
        <x:v>64</x:v>
      </x:c>
      <x:c r="H12" s="141" t="n">
        <x:v>64</x:v>
      </x:c>
      <x:c r="I12" s="141" t="str">
        <x:v>Needs Improvement</x:v>
      </x:c>
      <x:c r="J12" s="141" t="str">
        <x:v>Yes</x:v>
      </x:c>
      <x:c r="K12" s="141" t="str">
        <x:v>No</x:v>
      </x:c>
    </x:row>
    <x:row r="13">
      <x:c r="A13" s="141" t="str">
        <x:v>PF-0012</x:v>
      </x:c>
      <x:c r="B13" s="141" t="str">
        <x:v>SG-21023011902</x:v>
      </x:c>
      <x:c r="C13" s="141" t="str">
        <x:v>Q1</x:v>
      </x:c>
      <x:c r="D13" s="141" t="str">
        <x:v>Smartwatch Production</x:v>
      </x:c>
      <x:c r="E13" s="141" t="n">
        <x:v>56</x:v>
      </x:c>
      <x:c r="F13" s="141" t="n">
        <x:v>53</x:v>
      </x:c>
      <x:c r="G13" s="141" t="n">
        <x:v>63</x:v>
      </x:c>
      <x:c r="H13" s="141" t="n">
        <x:v>56.4</x:v>
      </x:c>
      <x:c r="I13" s="141" t="str">
        <x:v>Needs Improvement</x:v>
      </x:c>
      <x:c r="J13" s="141" t="str">
        <x:v>Yes</x:v>
      </x:c>
      <x:c r="K13" s="141" t="str">
        <x:v>Yes</x:v>
      </x:c>
    </x:row>
    <x:row r="14">
      <x:c r="A14" s="141" t="str">
        <x:v>PF-0013</x:v>
      </x:c>
      <x:c r="B14" s="141" t="str">
        <x:v>SG-21015092303</x:v>
      </x:c>
      <x:c r="C14" s="141" t="str">
        <x:v>Q1</x:v>
      </x:c>
      <x:c r="D14" s="141" t="str">
        <x:v>Smartwatch Production</x:v>
      </x:c>
      <x:c r="E14" s="141" t="n">
        <x:v>62</x:v>
      </x:c>
      <x:c r="F14" s="141" t="n">
        <x:v>60</x:v>
      </x:c>
      <x:c r="G14" s="141" t="n">
        <x:v>65</x:v>
      </x:c>
      <x:c r="H14" s="141" t="n">
        <x:v>61.9</x:v>
      </x:c>
      <x:c r="I14" s="141" t="str">
        <x:v>Needs Improvement</x:v>
      </x:c>
      <x:c r="J14" s="141" t="str">
        <x:v>Yes</x:v>
      </x:c>
      <x:c r="K14" s="141" t="str">
        <x:v>No</x:v>
      </x:c>
    </x:row>
    <x:row r="15">
      <x:c r="A15" s="141" t="str">
        <x:v>PF-0014</x:v>
      </x:c>
      <x:c r="B15" s="141" t="str">
        <x:v>SG-21015092303</x:v>
      </x:c>
      <x:c r="C15" s="141" t="str">
        <x:v>Q2</x:v>
      </x:c>
      <x:c r="D15" s="141" t="str">
        <x:v>Smartwatch Production</x:v>
      </x:c>
      <x:c r="E15" s="141" t="n">
        <x:v>69</x:v>
      </x:c>
      <x:c r="F15" s="141" t="n">
        <x:v>63</x:v>
      </x:c>
      <x:c r="G15" s="141" t="n">
        <x:v>83</x:v>
      </x:c>
      <x:c r="H15" s="141" t="n">
        <x:v>69.7</x:v>
      </x:c>
      <x:c r="I15" s="141" t="str">
        <x:v>Meets</x:v>
      </x:c>
      <x:c r="J15" s="141" t="str">
        <x:v>Yes</x:v>
      </x:c>
      <x:c r="K15" s="141" t="str">
        <x:v>No</x:v>
      </x:c>
    </x:row>
    <x:row r="16">
      <x:c r="A16" s="141" t="str">
        <x:v>PF-0015</x:v>
      </x:c>
      <x:c r="B16" s="141" t="str">
        <x:v>SG-21015092303</x:v>
      </x:c>
      <x:c r="C16" s="141" t="str">
        <x:v>Q3</x:v>
      </x:c>
      <x:c r="D16" s="141" t="str">
        <x:v>Smartwatch Production</x:v>
      </x:c>
      <x:c r="E16" s="141" t="n">
        <x:v>79</x:v>
      </x:c>
      <x:c r="F16" s="141" t="n">
        <x:v>80</x:v>
      </x:c>
      <x:c r="G16" s="141" t="n">
        <x:v>78</x:v>
      </x:c>
      <x:c r="H16" s="141" t="n">
        <x:v>79.2</x:v>
      </x:c>
      <x:c r="I16" s="141" t="str">
        <x:v>Meets</x:v>
      </x:c>
      <x:c r="J16" s="141" t="str">
        <x:v>Yes</x:v>
      </x:c>
      <x:c r="K16" s="141" t="str">
        <x:v>Yes</x:v>
      </x:c>
    </x:row>
    <x:row r="17">
      <x:c r="A17" s="141" t="str">
        <x:v>PF-0016</x:v>
      </x:c>
      <x:c r="B17" s="141" t="str">
        <x:v>SG-21015092303</x:v>
      </x:c>
      <x:c r="C17" s="141" t="str">
        <x:v>Q4</x:v>
      </x:c>
      <x:c r="D17" s="141" t="str">
        <x:v>Smartwatch Production</x:v>
      </x:c>
      <x:c r="E17" s="141" t="n">
        <x:v>100</x:v>
      </x:c>
      <x:c r="F17" s="141" t="n">
        <x:v>90</x:v>
      </x:c>
      <x:c r="G17" s="141" t="n">
        <x:v>88</x:v>
      </x:c>
      <x:c r="H17" s="141" t="n">
        <x:v>94.1</x:v>
      </x:c>
      <x:c r="I17" s="141" t="str">
        <x:v>Exceptional</x:v>
      </x:c>
      <x:c r="J17" s="141" t="str">
        <x:v>Yes</x:v>
      </x:c>
      <x:c r="K17" s="141" t="str">
        <x:v>No</x:v>
      </x:c>
    </x:row>
    <x:row r="18">
      <x:c r="A18" s="141" t="str">
        <x:v>PF-0017</x:v>
      </x:c>
      <x:c r="B18" s="141" t="str">
        <x:v>SG-21022112304</x:v>
      </x:c>
      <x:c r="C18" s="141" t="str">
        <x:v>Q1</x:v>
      </x:c>
      <x:c r="D18" s="141" t="str">
        <x:v>Smartwatch Production</x:v>
      </x:c>
      <x:c r="E18" s="141" t="n">
        <x:v>66</x:v>
      </x:c>
      <x:c r="F18" s="141" t="n">
        <x:v>70</x:v>
      </x:c>
      <x:c r="G18" s="141" t="n">
        <x:v>65</x:v>
      </x:c>
      <x:c r="H18" s="141" t="n">
        <x:v>67.2</x:v>
      </x:c>
      <x:c r="I18" s="141" t="str">
        <x:v>Meets</x:v>
      </x:c>
      <x:c r="J18" s="141" t="str">
        <x:v>Yes</x:v>
      </x:c>
      <x:c r="K18" s="141" t="str">
        <x:v>No</x:v>
      </x:c>
    </x:row>
    <x:row r="19">
      <x:c r="A19" s="141" t="str">
        <x:v>PF-0018</x:v>
      </x:c>
      <x:c r="B19" s="141" t="str">
        <x:v>SG-21009112105</x:v>
      </x:c>
      <x:c r="C19" s="141" t="str">
        <x:v>Q1</x:v>
      </x:c>
      <x:c r="D19" s="141" t="str">
        <x:v>Smartwatch Production</x:v>
      </x:c>
      <x:c r="E19" s="141" t="n">
        <x:v>64</x:v>
      </x:c>
      <x:c r="F19" s="141" t="n">
        <x:v>77</x:v>
      </x:c>
      <x:c r="G19" s="141" t="n">
        <x:v>63</x:v>
      </x:c>
      <x:c r="H19" s="141" t="n">
        <x:v>68.3</x:v>
      </x:c>
      <x:c r="I19" s="141" t="str">
        <x:v>Meets</x:v>
      </x:c>
      <x:c r="J19" s="141" t="str">
        <x:v>No</x:v>
      </x:c>
      <x:c r="K19" s="141" t="str">
        <x:v>No</x:v>
      </x:c>
    </x:row>
    <x:row r="20">
      <x:c r="A20" s="141" t="str">
        <x:v>PF-0019</x:v>
      </x:c>
      <x:c r="B20" s="141" t="str">
        <x:v>SG-21007012306</x:v>
      </x:c>
      <x:c r="C20" s="141" t="str">
        <x:v>Q1</x:v>
      </x:c>
      <x:c r="D20" s="141" t="str">
        <x:v>Smartwatch Production</x:v>
      </x:c>
      <x:c r="E20" s="141" t="n">
        <x:v>54</x:v>
      </x:c>
      <x:c r="F20" s="141" t="n">
        <x:v>73</x:v>
      </x:c>
      <x:c r="G20" s="141" t="n">
        <x:v>61</x:v>
      </x:c>
      <x:c r="H20" s="141" t="n">
        <x:v>62</x:v>
      </x:c>
      <x:c r="I20" s="141" t="str">
        <x:v>Needs Improvement</x:v>
      </x:c>
      <x:c r="J20" s="141" t="str">
        <x:v>Yes</x:v>
      </x:c>
      <x:c r="K20" s="141" t="str">
        <x:v>No</x:v>
      </x:c>
    </x:row>
    <x:row r="21">
      <x:c r="A21" s="141" t="str">
        <x:v>PF-0020</x:v>
      </x:c>
      <x:c r="B21" s="141" t="str">
        <x:v>SG-21012042207</x:v>
      </x:c>
      <x:c r="C21" s="141" t="str">
        <x:v>Q1</x:v>
      </x:c>
      <x:c r="D21" s="141" t="str">
        <x:v>Smartwatch Production</x:v>
      </x:c>
      <x:c r="E21" s="141" t="n">
        <x:v>39</x:v>
      </x:c>
      <x:c r="F21" s="141" t="n">
        <x:v>55</x:v>
      </x:c>
      <x:c r="G21" s="141" t="n">
        <x:v>55</x:v>
      </x:c>
      <x:c r="H21" s="141" t="n">
        <x:v>47.8</x:v>
      </x:c>
      <x:c r="I21" s="141" t="str">
        <x:v>Needs Improvement</x:v>
      </x:c>
      <x:c r="J21" s="141" t="str">
        <x:v>Yes</x:v>
      </x:c>
      <x:c r="K21" s="141" t="str">
        <x:v>No</x:v>
      </x:c>
    </x:row>
    <x:row r="22">
      <x:c r="A22" s="141" t="str">
        <x:v>PF-0021</x:v>
      </x:c>
      <x:c r="B22" s="141" t="str">
        <x:v>SG-21024051808</x:v>
      </x:c>
      <x:c r="C22" s="141" t="str">
        <x:v>Q1</x:v>
      </x:c>
      <x:c r="D22" s="141" t="str">
        <x:v>Smartwatch Production</x:v>
      </x:c>
      <x:c r="E22" s="141" t="n">
        <x:v>74</x:v>
      </x:c>
      <x:c r="F22" s="141" t="n">
        <x:v>81</x:v>
      </x:c>
      <x:c r="G22" s="141" t="n">
        <x:v>66</x:v>
      </x:c>
      <x:c r="H22" s="141" t="n">
        <x:v>74.9</x:v>
      </x:c>
      <x:c r="I22" s="141" t="str">
        <x:v>Meets</x:v>
      </x:c>
      <x:c r="J22" s="141" t="str">
        <x:v>No</x:v>
      </x:c>
      <x:c r="K22" s="141" t="str">
        <x:v>No</x:v>
      </x:c>
    </x:row>
    <x:row r="23">
      <x:c r="A23" s="141" t="str">
        <x:v>PF-0022</x:v>
      </x:c>
      <x:c r="B23" s="141" t="str">
        <x:v>SG-21024051808</x:v>
      </x:c>
      <x:c r="C23" s="141" t="str">
        <x:v>Q2</x:v>
      </x:c>
      <x:c r="D23" s="141" t="str">
        <x:v>Smartwatch Production</x:v>
      </x:c>
      <x:c r="E23" s="141" t="n">
        <x:v>81</x:v>
      </x:c>
      <x:c r="F23" s="141" t="n">
        <x:v>68</x:v>
      </x:c>
      <x:c r="G23" s="141" t="n">
        <x:v>58</x:v>
      </x:c>
      <x:c r="H23" s="141" t="n">
        <x:v>71.8</x:v>
      </x:c>
      <x:c r="I23" s="141" t="str">
        <x:v>Meets</x:v>
      </x:c>
      <x:c r="J23" s="141" t="str">
        <x:v>Yes</x:v>
      </x:c>
      <x:c r="K23" s="141" t="str">
        <x:v>Yes</x:v>
      </x:c>
    </x:row>
    <x:row r="24">
      <x:c r="A24" s="141" t="str">
        <x:v>PF-0023</x:v>
      </x:c>
      <x:c r="B24" s="141" t="str">
        <x:v>SG-21024051808</x:v>
      </x:c>
      <x:c r="C24" s="141" t="str">
        <x:v>Q3</x:v>
      </x:c>
      <x:c r="D24" s="141" t="str">
        <x:v>Smartwatch Production</x:v>
      </x:c>
      <x:c r="E24" s="141" t="n">
        <x:v>73</x:v>
      </x:c>
      <x:c r="F24" s="141" t="n">
        <x:v>77</x:v>
      </x:c>
      <x:c r="G24" s="141" t="n">
        <x:v>79</x:v>
      </x:c>
      <x:c r="H24" s="141" t="n">
        <x:v>75.6</x:v>
      </x:c>
      <x:c r="I24" s="141" t="str">
        <x:v>Meets</x:v>
      </x:c>
      <x:c r="J24" s="141" t="str">
        <x:v>Yes</x:v>
      </x:c>
      <x:c r="K24" s="141" t="str">
        <x:v>Yes</x:v>
      </x:c>
    </x:row>
    <x:row r="25">
      <x:c r="A25" s="141" t="str">
        <x:v>PF-0024</x:v>
      </x:c>
      <x:c r="B25" s="141" t="str">
        <x:v>SG-21024051808</x:v>
      </x:c>
      <x:c r="C25" s="141" t="str">
        <x:v>Q4</x:v>
      </x:c>
      <x:c r="D25" s="141" t="str">
        <x:v>Smartwatch Production</x:v>
      </x:c>
      <x:c r="E25" s="141" t="n">
        <x:v>77</x:v>
      </x:c>
      <x:c r="F25" s="141" t="n">
        <x:v>88</x:v>
      </x:c>
      <x:c r="G25" s="141" t="n">
        <x:v>89</x:v>
      </x:c>
      <x:c r="H25" s="141" t="n">
        <x:v>83.2</x:v>
      </x:c>
      <x:c r="I25" s="141" t="str">
        <x:v>Exceeds</x:v>
      </x:c>
      <x:c r="J25" s="141" t="str">
        <x:v>Yes</x:v>
      </x:c>
      <x:c r="K25" s="141" t="str">
        <x:v>No</x:v>
      </x:c>
    </x:row>
    <x:row r="26">
      <x:c r="A26" s="141" t="str">
        <x:v>PF-0025</x:v>
      </x:c>
      <x:c r="B26" s="141" t="str">
        <x:v>SG-21008062009</x:v>
      </x:c>
      <x:c r="C26" s="141" t="str">
        <x:v>Q1</x:v>
      </x:c>
      <x:c r="D26" s="141" t="str">
        <x:v>Smartwatch Production</x:v>
      </x:c>
      <x:c r="E26" s="141" t="n">
        <x:v>51</x:v>
      </x:c>
      <x:c r="F26" s="141" t="n">
        <x:v>82</x:v>
      </x:c>
      <x:c r="G26" s="141" t="n">
        <x:v>57</x:v>
      </x:c>
      <x:c r="H26" s="141" t="n">
        <x:v>63</x:v>
      </x:c>
      <x:c r="I26" s="141" t="str">
        <x:v>Needs Improvement</x:v>
      </x:c>
      <x:c r="J26" s="141" t="str">
        <x:v>Yes</x:v>
      </x:c>
      <x:c r="K26" s="141" t="str">
        <x:v>Yes</x:v>
      </x:c>
    </x:row>
    <x:row r="27">
      <x:c r="A27" s="141" t="str">
        <x:v>PF-0026</x:v>
      </x:c>
      <x:c r="B27" s="141" t="str">
        <x:v>SG-21003032210</x:v>
      </x:c>
      <x:c r="C27" s="141" t="str">
        <x:v>Q1</x:v>
      </x:c>
      <x:c r="D27" s="141" t="str">
        <x:v>Smartwatch Production</x:v>
      </x:c>
      <x:c r="E27" s="141" t="n">
        <x:v>54</x:v>
      </x:c>
      <x:c r="F27" s="141" t="n">
        <x:v>52</x:v>
      </x:c>
      <x:c r="G27" s="141" t="n">
        <x:v>66</x:v>
      </x:c>
      <x:c r="H27" s="141" t="n">
        <x:v>55.7</x:v>
      </x:c>
      <x:c r="I27" s="141" t="str">
        <x:v>Needs Improvement</x:v>
      </x:c>
      <x:c r="J27" s="141" t="str">
        <x:v>Yes</x:v>
      </x:c>
      <x:c r="K27" s="141" t="str">
        <x:v>Yes</x:v>
      </x:c>
    </x:row>
    <x:row r="28">
      <x:c r="A28" s="141" t="str">
        <x:v>PF-0027</x:v>
      </x:c>
      <x:c r="B28" s="141" t="str">
        <x:v>SG-21003032210</x:v>
      </x:c>
      <x:c r="C28" s="141" t="str">
        <x:v>Q2</x:v>
      </x:c>
      <x:c r="D28" s="141" t="str">
        <x:v>Smartwatch Production</x:v>
      </x:c>
      <x:c r="E28" s="141" t="n">
        <x:v>60</x:v>
      </x:c>
      <x:c r="F28" s="141" t="n">
        <x:v>57</x:v>
      </x:c>
      <x:c r="G28" s="141" t="n">
        <x:v>69</x:v>
      </x:c>
      <x:c r="H28" s="141" t="n">
        <x:v>60.8</x:v>
      </x:c>
      <x:c r="I28" s="141" t="str">
        <x:v>Needs Improvement</x:v>
      </x:c>
      <x:c r="J28" s="141" t="str">
        <x:v>Yes</x:v>
      </x:c>
      <x:c r="K28" s="141" t="str">
        <x:v>Yes</x:v>
      </x:c>
    </x:row>
    <x:row r="29">
      <x:c r="A29" s="141" t="str">
        <x:v>PF-0028</x:v>
      </x:c>
      <x:c r="B29" s="141" t="str">
        <x:v>SG-21003032210</x:v>
      </x:c>
      <x:c r="C29" s="141" t="str">
        <x:v>Q3</x:v>
      </x:c>
      <x:c r="D29" s="141" t="str">
        <x:v>Smartwatch Production</x:v>
      </x:c>
      <x:c r="E29" s="141" t="n">
        <x:v>72</x:v>
      </x:c>
      <x:c r="F29" s="141" t="n">
        <x:v>78</x:v>
      </x:c>
      <x:c r="G29" s="141" t="n">
        <x:v>83</x:v>
      </x:c>
      <x:c r="H29" s="141" t="n">
        <x:v>76.3</x:v>
      </x:c>
      <x:c r="I29" s="141" t="str">
        <x:v>Meets</x:v>
      </x:c>
      <x:c r="J29" s="141" t="str">
        <x:v>Yes</x:v>
      </x:c>
      <x:c r="K29" s="141" t="str">
        <x:v>Yes</x:v>
      </x:c>
    </x:row>
    <x:row r="30">
      <x:c r="A30" s="141" t="str">
        <x:v>PF-0029</x:v>
      </x:c>
      <x:c r="B30" s="141" t="str">
        <x:v>SG-21003032210</x:v>
      </x:c>
      <x:c r="C30" s="141" t="str">
        <x:v>Q4</x:v>
      </x:c>
      <x:c r="D30" s="141" t="str">
        <x:v>Smartwatch Production</x:v>
      </x:c>
      <x:c r="E30" s="141" t="n">
        <x:v>87</x:v>
      </x:c>
      <x:c r="F30" s="141" t="n">
        <x:v>88</x:v>
      </x:c>
      <x:c r="G30" s="141" t="n">
        <x:v>83</x:v>
      </x:c>
      <x:c r="H30" s="141" t="n">
        <x:v>86.5</x:v>
      </x:c>
      <x:c r="I30" s="141" t="str">
        <x:v>Exceeds</x:v>
      </x:c>
      <x:c r="J30" s="141" t="str">
        <x:v>Yes</x:v>
      </x:c>
      <x:c r="K30" s="141" t="str">
        <x:v>No</x:v>
      </x:c>
    </x:row>
    <x:row r="31">
      <x:c r="A31" s="141" t="str">
        <x:v>PF-0030</x:v>
      </x:c>
      <x:c r="B31" s="141" t="str">
        <x:v>SG-21027092011</x:v>
      </x:c>
      <x:c r="C31" s="141" t="str">
        <x:v>Q1</x:v>
      </x:c>
      <x:c r="D31" s="141" t="str">
        <x:v>Smartwatch Production</x:v>
      </x:c>
      <x:c r="E31" s="141" t="n">
        <x:v>48</x:v>
      </x:c>
      <x:c r="F31" s="141" t="n">
        <x:v>46</x:v>
      </x:c>
      <x:c r="G31" s="141" t="n">
        <x:v>64</x:v>
      </x:c>
      <x:c r="H31" s="141" t="n">
        <x:v>50.5</x:v>
      </x:c>
      <x:c r="I31" s="141" t="str">
        <x:v>Needs Improvement</x:v>
      </x:c>
      <x:c r="J31" s="141" t="str">
        <x:v>No</x:v>
      </x:c>
      <x:c r="K31" s="141" t="str">
        <x:v>No</x:v>
      </x:c>
    </x:row>
    <x:row r="32">
      <x:c r="A32" s="141" t="str">
        <x:v>PF-0031</x:v>
      </x:c>
      <x:c r="B32" s="141" t="str">
        <x:v>SG-21014031912</x:v>
      </x:c>
      <x:c r="C32" s="141" t="str">
        <x:v>Q1</x:v>
      </x:c>
      <x:c r="D32" s="141" t="str">
        <x:v>Smartwatch Production</x:v>
      </x:c>
      <x:c r="E32" s="141" t="n">
        <x:v>55</x:v>
      </x:c>
      <x:c r="F32" s="141" t="n">
        <x:v>55</x:v>
      </x:c>
      <x:c r="G32" s="141" t="n">
        <x:v>56</x:v>
      </x:c>
      <x:c r="H32" s="141" t="n">
        <x:v>55.2</x:v>
      </x:c>
      <x:c r="I32" s="141" t="str">
        <x:v>Needs Improvement</x:v>
      </x:c>
      <x:c r="J32" s="141" t="str">
        <x:v>No</x:v>
      </x:c>
      <x:c r="K32" s="141" t="str">
        <x:v>Yes</x:v>
      </x:c>
    </x:row>
    <x:row r="33">
      <x:c r="A33" s="141" t="str">
        <x:v>PF-0032</x:v>
      </x:c>
      <x:c r="B33" s="141" t="str">
        <x:v>SG-21004102013</x:v>
      </x:c>
      <x:c r="C33" s="141" t="str">
        <x:v>Q1</x:v>
      </x:c>
      <x:c r="D33" s="141" t="str">
        <x:v>Smartwatch Production</x:v>
      </x:c>
      <x:c r="E33" s="141" t="n">
        <x:v>69</x:v>
      </x:c>
      <x:c r="F33" s="141" t="n">
        <x:v>65</x:v>
      </x:c>
      <x:c r="G33" s="141" t="n">
        <x:v>45</x:v>
      </x:c>
      <x:c r="H33" s="141" t="n">
        <x:v>62.8</x:v>
      </x:c>
      <x:c r="I33" s="141" t="str">
        <x:v>Needs Improvement</x:v>
      </x:c>
      <x:c r="J33" s="141" t="str">
        <x:v>Yes</x:v>
      </x:c>
      <x:c r="K33" s="141" t="str">
        <x:v>Yes</x:v>
      </x:c>
    </x:row>
    <x:row r="34">
      <x:c r="A34" s="141" t="str">
        <x:v>PF-0033</x:v>
      </x:c>
      <x:c r="B34" s="141" t="str">
        <x:v>SG-21007081814</x:v>
      </x:c>
      <x:c r="C34" s="141" t="str">
        <x:v>Q1</x:v>
      </x:c>
      <x:c r="D34" s="141" t="str">
        <x:v>Smartwatch Production</x:v>
      </x:c>
      <x:c r="E34" s="141" t="n">
        <x:v>58</x:v>
      </x:c>
      <x:c r="F34" s="141" t="n">
        <x:v>51</x:v>
      </x:c>
      <x:c r="G34" s="141" t="n">
        <x:v>45</x:v>
      </x:c>
      <x:c r="H34" s="141" t="n">
        <x:v>53</x:v>
      </x:c>
      <x:c r="I34" s="141" t="str">
        <x:v>Needs Improvement</x:v>
      </x:c>
      <x:c r="J34" s="141" t="str">
        <x:v>No</x:v>
      </x:c>
      <x:c r="K34" s="141" t="str">
        <x:v>Yes</x:v>
      </x:c>
    </x:row>
    <x:row r="35">
      <x:c r="A35" s="141" t="str">
        <x:v>PF-0034</x:v>
      </x:c>
      <x:c r="B35" s="141" t="str">
        <x:v>SG-21027042115</x:v>
      </x:c>
      <x:c r="C35" s="141" t="str">
        <x:v>Q1</x:v>
      </x:c>
      <x:c r="D35" s="141" t="str">
        <x:v>Smartwatch Production</x:v>
      </x:c>
      <x:c r="E35" s="141" t="n">
        <x:v>81</x:v>
      </x:c>
      <x:c r="F35" s="141" t="n">
        <x:v>59</x:v>
      </x:c>
      <x:c r="G35" s="141" t="n">
        <x:v>62</x:v>
      </x:c>
      <x:c r="H35" s="141" t="n">
        <x:v>69.5</x:v>
      </x:c>
      <x:c r="I35" s="141" t="str">
        <x:v>Meets</x:v>
      </x:c>
      <x:c r="J35" s="141" t="str">
        <x:v>Yes</x:v>
      </x:c>
      <x:c r="K35" s="141" t="str">
        <x:v>Yes</x:v>
      </x:c>
    </x:row>
    <x:row r="36">
      <x:c r="A36" s="141" t="str">
        <x:v>PF-0035</x:v>
      </x:c>
      <x:c r="B36" s="141" t="str">
        <x:v>SG-21026071916</x:v>
      </x:c>
      <x:c r="C36" s="141" t="str">
        <x:v>Q1</x:v>
      </x:c>
      <x:c r="D36" s="141" t="str">
        <x:v>Smartwatch Production</x:v>
      </x:c>
      <x:c r="E36" s="141" t="n">
        <x:v>52</x:v>
      </x:c>
      <x:c r="F36" s="141" t="n">
        <x:v>77</x:v>
      </x:c>
      <x:c r="G36" s="141" t="n">
        <x:v>54</x:v>
      </x:c>
      <x:c r="H36" s="141" t="n">
        <x:v>61.2</x:v>
      </x:c>
      <x:c r="I36" s="141" t="str">
        <x:v>Needs Improvement</x:v>
      </x:c>
      <x:c r="J36" s="141" t="str">
        <x:v>Yes</x:v>
      </x:c>
      <x:c r="K36" s="141" t="str">
        <x:v>Yes</x:v>
      </x:c>
    </x:row>
    <x:row r="37">
      <x:c r="A37" s="141" t="str">
        <x:v>PF-0036</x:v>
      </x:c>
      <x:c r="B37" s="141" t="str">
        <x:v>SG-21020121817</x:v>
      </x:c>
      <x:c r="C37" s="141" t="str">
        <x:v>Q1</x:v>
      </x:c>
      <x:c r="D37" s="141" t="str">
        <x:v>Smartwatch Production</x:v>
      </x:c>
      <x:c r="E37" s="141" t="n">
        <x:v>63</x:v>
      </x:c>
      <x:c r="F37" s="141" t="n">
        <x:v>58</x:v>
      </x:c>
      <x:c r="G37" s="141" t="n">
        <x:v>64</x:v>
      </x:c>
      <x:c r="H37" s="141" t="n">
        <x:v>61.5</x:v>
      </x:c>
      <x:c r="I37" s="141" t="str">
        <x:v>Needs Improvement</x:v>
      </x:c>
      <x:c r="J37" s="141" t="str">
        <x:v>Yes</x:v>
      </x:c>
      <x:c r="K37" s="141" t="str">
        <x:v>Yes</x:v>
      </x:c>
    </x:row>
    <x:row r="38">
      <x:c r="A38" s="141" t="str">
        <x:v>PF-0037</x:v>
      </x:c>
      <x:c r="B38" s="141" t="str">
        <x:v>SG-21014112418</x:v>
      </x:c>
      <x:c r="C38" s="141" t="str">
        <x:v>Q1</x:v>
      </x:c>
      <x:c r="D38" s="141" t="str">
        <x:v>Smartwatch Production</x:v>
      </x:c>
      <x:c r="E38" s="141" t="n">
        <x:v>57</x:v>
      </x:c>
      <x:c r="F38" s="141" t="n">
        <x:v>46</x:v>
      </x:c>
      <x:c r="G38" s="141" t="n">
        <x:v>65</x:v>
      </x:c>
      <x:c r="H38" s="141" t="n">
        <x:v>54.8</x:v>
      </x:c>
      <x:c r="I38" s="141" t="str">
        <x:v>Needs Improvement</x:v>
      </x:c>
      <x:c r="J38" s="141" t="str">
        <x:v>No</x:v>
      </x:c>
      <x:c r="K38" s="141" t="str">
        <x:v>Yes</x:v>
      </x:c>
    </x:row>
    <x:row r="39">
      <x:c r="A39" s="141" t="str">
        <x:v>PF-0038</x:v>
      </x:c>
      <x:c r="B39" s="141" t="str">
        <x:v>SG-21017092019</x:v>
      </x:c>
      <x:c r="C39" s="141" t="str">
        <x:v>Q1</x:v>
      </x:c>
      <x:c r="D39" s="141" t="str">
        <x:v>Smartwatch Production</x:v>
      </x:c>
      <x:c r="E39" s="141" t="n">
        <x:v>47</x:v>
      </x:c>
      <x:c r="F39" s="141" t="n">
        <x:v>56</x:v>
      </x:c>
      <x:c r="G39" s="141" t="n">
        <x:v>55</x:v>
      </x:c>
      <x:c r="H39" s="141" t="n">
        <x:v>51.8</x:v>
      </x:c>
      <x:c r="I39" s="141" t="str">
        <x:v>Needs Improvement</x:v>
      </x:c>
      <x:c r="J39" s="141" t="str">
        <x:v>No</x:v>
      </x:c>
      <x:c r="K39" s="141" t="str">
        <x:v>Yes</x:v>
      </x:c>
    </x:row>
    <x:row r="40">
      <x:c r="A40" s="141" t="str">
        <x:v>PF-0039</x:v>
      </x:c>
      <x:c r="B40" s="141" t="str">
        <x:v>SG-21009042120</x:v>
      </x:c>
      <x:c r="C40" s="141" t="str">
        <x:v>Q1</x:v>
      </x:c>
      <x:c r="D40" s="141" t="str">
        <x:v>Smartwatch Production</x:v>
      </x:c>
      <x:c r="E40" s="141" t="n">
        <x:v>76</x:v>
      </x:c>
      <x:c r="F40" s="141" t="n">
        <x:v>70</x:v>
      </x:c>
      <x:c r="G40" s="141" t="n">
        <x:v>62</x:v>
      </x:c>
      <x:c r="H40" s="141" t="n">
        <x:v>71.1</x:v>
      </x:c>
      <x:c r="I40" s="141" t="str">
        <x:v>Meets</x:v>
      </x:c>
      <x:c r="J40" s="141" t="str">
        <x:v>Yes</x:v>
      </x:c>
      <x:c r="K40" s="141" t="str">
        <x:v>No</x:v>
      </x:c>
    </x:row>
    <x:row r="41">
      <x:c r="A41" s="141" t="str">
        <x:v>PF-0040</x:v>
      </x:c>
      <x:c r="B41" s="141" t="str">
        <x:v>SG-21009042120</x:v>
      </x:c>
      <x:c r="C41" s="141" t="str">
        <x:v>Q2</x:v>
      </x:c>
      <x:c r="D41" s="141" t="str">
        <x:v>Smartwatch Production</x:v>
      </x:c>
      <x:c r="E41" s="141" t="n">
        <x:v>80</x:v>
      </x:c>
      <x:c r="F41" s="141" t="n">
        <x:v>73</x:v>
      </x:c>
      <x:c r="G41" s="141" t="n">
        <x:v>74</x:v>
      </x:c>
      <x:c r="H41" s="141" t="n">
        <x:v>76.3</x:v>
      </x:c>
      <x:c r="I41" s="141" t="str">
        <x:v>Meets</x:v>
      </x:c>
      <x:c r="J41" s="141" t="str">
        <x:v>No</x:v>
      </x:c>
      <x:c r="K41" s="141" t="str">
        <x:v>No</x:v>
      </x:c>
    </x:row>
    <x:row r="42">
      <x:c r="A42" s="141" t="str">
        <x:v>PF-0041</x:v>
      </x:c>
      <x:c r="B42" s="141" t="str">
        <x:v>SG-21009042120</x:v>
      </x:c>
      <x:c r="C42" s="141" t="str">
        <x:v>Q3</x:v>
      </x:c>
      <x:c r="D42" s="141" t="str">
        <x:v>Smartwatch Production</x:v>
      </x:c>
      <x:c r="E42" s="141" t="n">
        <x:v>86</x:v>
      </x:c>
      <x:c r="F42" s="141" t="n">
        <x:v>89</x:v>
      </x:c>
      <x:c r="G42" s="141" t="n">
        <x:v>88</x:v>
      </x:c>
      <x:c r="H42" s="141" t="n">
        <x:v>87.4</x:v>
      </x:c>
      <x:c r="I42" s="141" t="str">
        <x:v>Exceeds</x:v>
      </x:c>
      <x:c r="J42" s="141" t="str">
        <x:v>Yes</x:v>
      </x:c>
      <x:c r="K42" s="141" t="str">
        <x:v>No</x:v>
      </x:c>
    </x:row>
    <x:row r="43">
      <x:c r="A43" s="141" t="str">
        <x:v>PF-0042</x:v>
      </x:c>
      <x:c r="B43" s="141" t="str">
        <x:v>SG-21009042120</x:v>
      </x:c>
      <x:c r="C43" s="141" t="str">
        <x:v>Q4</x:v>
      </x:c>
      <x:c r="D43" s="141" t="str">
        <x:v>Smartwatch Production</x:v>
      </x:c>
      <x:c r="E43" s="141" t="n">
        <x:v>93</x:v>
      </x:c>
      <x:c r="F43" s="141" t="n">
        <x:v>94</x:v>
      </x:c>
      <x:c r="G43" s="141" t="n">
        <x:v>86</x:v>
      </x:c>
      <x:c r="H43" s="141" t="n">
        <x:v>92</x:v>
      </x:c>
      <x:c r="I43" s="141" t="str">
        <x:v>Exceptional</x:v>
      </x:c>
      <x:c r="J43" s="141" t="str">
        <x:v>Yes</x:v>
      </x:c>
      <x:c r="K43" s="141" t="str">
        <x:v>No</x:v>
      </x:c>
    </x:row>
    <x:row r="44">
      <x:c r="A44" s="141" t="str">
        <x:v>PF-0043</x:v>
      </x:c>
      <x:c r="B44" s="141" t="str">
        <x:v>SG-21017062021</x:v>
      </x:c>
      <x:c r="C44" s="141" t="str">
        <x:v>Q1</x:v>
      </x:c>
      <x:c r="D44" s="141" t="str">
        <x:v>Smartwatch Production</x:v>
      </x:c>
      <x:c r="E44" s="141" t="n">
        <x:v>54</x:v>
      </x:c>
      <x:c r="F44" s="141" t="n">
        <x:v>68</x:v>
      </x:c>
      <x:c r="G44" s="141" t="n">
        <x:v>64</x:v>
      </x:c>
      <x:c r="H44" s="141" t="n">
        <x:v>60.9</x:v>
      </x:c>
      <x:c r="I44" s="141" t="str">
        <x:v>Needs Improvement</x:v>
      </x:c>
      <x:c r="J44" s="141" t="str">
        <x:v>Yes</x:v>
      </x:c>
      <x:c r="K44" s="141" t="str">
        <x:v>Yes</x:v>
      </x:c>
    </x:row>
    <x:row r="45">
      <x:c r="A45" s="141" t="str">
        <x:v>PF-0044</x:v>
      </x:c>
      <x:c r="B45" s="141" t="str">
        <x:v>SG-21017062021</x:v>
      </x:c>
      <x:c r="C45" s="141" t="str">
        <x:v>Q2</x:v>
      </x:c>
      <x:c r="D45" s="141" t="str">
        <x:v>Smartwatch Production</x:v>
      </x:c>
      <x:c r="E45" s="141" t="n">
        <x:v>69</x:v>
      </x:c>
      <x:c r="F45" s="141" t="n">
        <x:v>65</x:v>
      </x:c>
      <x:c r="G45" s="141" t="n">
        <x:v>66</x:v>
      </x:c>
      <x:c r="H45" s="141" t="n">
        <x:v>67</x:v>
      </x:c>
      <x:c r="I45" s="141" t="str">
        <x:v>Meets</x:v>
      </x:c>
      <x:c r="J45" s="141" t="str">
        <x:v>Yes</x:v>
      </x:c>
      <x:c r="K45" s="141" t="str">
        <x:v>No</x:v>
      </x:c>
    </x:row>
    <x:row r="46">
      <x:c r="A46" s="141" t="str">
        <x:v>PF-0045</x:v>
      </x:c>
      <x:c r="B46" s="141" t="str">
        <x:v>SG-21017062021</x:v>
      </x:c>
      <x:c r="C46" s="141" t="str">
        <x:v>Q3</x:v>
      </x:c>
      <x:c r="D46" s="141" t="str">
        <x:v>Smartwatch Production</x:v>
      </x:c>
      <x:c r="E46" s="141" t="n">
        <x:v>83</x:v>
      </x:c>
      <x:c r="F46" s="141" t="n">
        <x:v>80</x:v>
      </x:c>
      <x:c r="G46" s="141" t="n">
        <x:v>67</x:v>
      </x:c>
      <x:c r="H46" s="141" t="n">
        <x:v>78.8</x:v>
      </x:c>
      <x:c r="I46" s="141" t="str">
        <x:v>Meets</x:v>
      </x:c>
      <x:c r="J46" s="141" t="str">
        <x:v>Yes</x:v>
      </x:c>
      <x:c r="K46" s="141" t="str">
        <x:v>Yes</x:v>
      </x:c>
    </x:row>
    <x:row r="47">
      <x:c r="A47" s="141" t="str">
        <x:v>PF-0046</x:v>
      </x:c>
      <x:c r="B47" s="141" t="str">
        <x:v>SG-21017062021</x:v>
      </x:c>
      <x:c r="C47" s="141" t="str">
        <x:v>Q4</x:v>
      </x:c>
      <x:c r="D47" s="141" t="str">
        <x:v>Smartwatch Production</x:v>
      </x:c>
      <x:c r="E47" s="141" t="n">
        <x:v>100</x:v>
      </x:c>
      <x:c r="F47" s="141" t="n">
        <x:v>71</x:v>
      </x:c>
      <x:c r="G47" s="141" t="n">
        <x:v>98</x:v>
      </x:c>
      <x:c r="H47" s="141" t="n">
        <x:v>89.4</x:v>
      </x:c>
      <x:c r="I47" s="141" t="str">
        <x:v>Exceeds</x:v>
      </x:c>
      <x:c r="J47" s="141" t="str">
        <x:v>Yes</x:v>
      </x:c>
      <x:c r="K47" s="141" t="str">
        <x:v>No</x:v>
      </x:c>
    </x:row>
    <x:row r="48">
      <x:c r="A48" s="141" t="str">
        <x:v>PF-0047</x:v>
      </x:c>
      <x:c r="B48" s="141" t="str">
        <x:v>SG-21022041822</x:v>
      </x:c>
      <x:c r="C48" s="141" t="str">
        <x:v>Q1</x:v>
      </x:c>
      <x:c r="D48" s="141" t="str">
        <x:v>Smartwatch Production</x:v>
      </x:c>
      <x:c r="E48" s="141" t="n">
        <x:v>63</x:v>
      </x:c>
      <x:c r="F48" s="141" t="n">
        <x:v>51</x:v>
      </x:c>
      <x:c r="G48" s="141" t="n">
        <x:v>55</x:v>
      </x:c>
      <x:c r="H48" s="141" t="n">
        <x:v>57.2</x:v>
      </x:c>
      <x:c r="I48" s="141" t="str">
        <x:v>Needs Improvement</x:v>
      </x:c>
      <x:c r="J48" s="141" t="str">
        <x:v>Yes</x:v>
      </x:c>
      <x:c r="K48" s="141" t="str">
        <x:v>No</x:v>
      </x:c>
    </x:row>
    <x:row r="49">
      <x:c r="A49" s="141" t="str">
        <x:v>PF-0048</x:v>
      </x:c>
      <x:c r="B49" s="141" t="str">
        <x:v>SG-21019031923</x:v>
      </x:c>
      <x:c r="C49" s="141" t="str">
        <x:v>Q1</x:v>
      </x:c>
      <x:c r="D49" s="141" t="str">
        <x:v>Smartwatch Production</x:v>
      </x:c>
      <x:c r="E49" s="141" t="n">
        <x:v>58</x:v>
      </x:c>
      <x:c r="F49" s="141" t="n">
        <x:v>49</x:v>
      </x:c>
      <x:c r="G49" s="141" t="n">
        <x:v>65</x:v>
      </x:c>
      <x:c r="H49" s="141" t="n">
        <x:v>56.2</x:v>
      </x:c>
      <x:c r="I49" s="141" t="str">
        <x:v>Needs Improvement</x:v>
      </x:c>
      <x:c r="J49" s="141" t="str">
        <x:v>Yes</x:v>
      </x:c>
      <x:c r="K49" s="141" t="str">
        <x:v>No</x:v>
      </x:c>
    </x:row>
    <x:row r="50">
      <x:c r="A50" s="141" t="str">
        <x:v>PF-0049</x:v>
      </x:c>
      <x:c r="B50" s="141" t="str">
        <x:v>SG-21015012424</x:v>
      </x:c>
      <x:c r="C50" s="141" t="str">
        <x:v>Q1</x:v>
      </x:c>
      <x:c r="D50" s="141" t="str">
        <x:v>Smartwatch Production</x:v>
      </x:c>
      <x:c r="E50" s="141" t="n">
        <x:v>52</x:v>
      </x:c>
      <x:c r="F50" s="141" t="n">
        <x:v>52</x:v>
      </x:c>
      <x:c r="G50" s="141" t="n">
        <x:v>58</x:v>
      </x:c>
      <x:c r="H50" s="141" t="n">
        <x:v>53.2</x:v>
      </x:c>
      <x:c r="I50" s="141" t="str">
        <x:v>Needs Improvement</x:v>
      </x:c>
      <x:c r="J50" s="141" t="str">
        <x:v>Yes</x:v>
      </x:c>
      <x:c r="K50" s="141" t="str">
        <x:v>No</x:v>
      </x:c>
    </x:row>
    <x:row r="51">
      <x:c r="A51" s="141" t="str">
        <x:v>PF-0050</x:v>
      </x:c>
      <x:c r="B51" s="141" t="str">
        <x:v>SG-21028021825</x:v>
      </x:c>
      <x:c r="C51" s="141" t="str">
        <x:v>Q1</x:v>
      </x:c>
      <x:c r="D51" s="141" t="str">
        <x:v>Smartwatch Production</x:v>
      </x:c>
      <x:c r="E51" s="141" t="n">
        <x:v>50</x:v>
      </x:c>
      <x:c r="F51" s="141" t="n">
        <x:v>65</x:v>
      </x:c>
      <x:c r="G51" s="141" t="n">
        <x:v>53</x:v>
      </x:c>
      <x:c r="H51" s="141" t="n">
        <x:v>55.9</x:v>
      </x:c>
      <x:c r="I51" s="141" t="str">
        <x:v>Needs Improvement</x:v>
      </x:c>
      <x:c r="J51" s="141" t="str">
        <x:v>No</x:v>
      </x:c>
      <x:c r="K51" s="141" t="str">
        <x:v>No</x:v>
      </x:c>
    </x:row>
    <x:row r="52">
      <x:c r="A52" s="141" t="str">
        <x:v>PF-0051</x:v>
      </x:c>
      <x:c r="B52" s="141" t="str">
        <x:v>SG-21002032026</x:v>
      </x:c>
      <x:c r="C52" s="141" t="str">
        <x:v>Q1</x:v>
      </x:c>
      <x:c r="D52" s="141" t="str">
        <x:v>Smartwatch Production</x:v>
      </x:c>
      <x:c r="E52" s="141" t="n">
        <x:v>47</x:v>
      </x:c>
      <x:c r="F52" s="141" t="n">
        <x:v>47</x:v>
      </x:c>
      <x:c r="G52" s="141" t="n">
        <x:v>59</x:v>
      </x:c>
      <x:c r="H52" s="141" t="n">
        <x:v>49.4</x:v>
      </x:c>
      <x:c r="I52" s="141" t="str">
        <x:v>Needs Improvement</x:v>
      </x:c>
      <x:c r="J52" s="141" t="str">
        <x:v>Yes</x:v>
      </x:c>
      <x:c r="K52" s="141" t="str">
        <x:v>Yes</x:v>
      </x:c>
    </x:row>
    <x:row r="53">
      <x:c r="A53" s="141" t="str">
        <x:v>PF-0052</x:v>
      </x:c>
      <x:c r="B53" s="141" t="str">
        <x:v>SG-21002032026</x:v>
      </x:c>
      <x:c r="C53" s="141" t="str">
        <x:v>Q2</x:v>
      </x:c>
      <x:c r="D53" s="141" t="str">
        <x:v>Smartwatch Production</x:v>
      </x:c>
      <x:c r="E53" s="141" t="n">
        <x:v>76</x:v>
      </x:c>
      <x:c r="F53" s="141" t="n">
        <x:v>66</x:v>
      </x:c>
      <x:c r="G53" s="141" t="n">
        <x:v>74</x:v>
      </x:c>
      <x:c r="H53" s="141" t="n">
        <x:v>72.1</x:v>
      </x:c>
      <x:c r="I53" s="141" t="str">
        <x:v>Meets</x:v>
      </x:c>
      <x:c r="J53" s="141" t="str">
        <x:v>No</x:v>
      </x:c>
      <x:c r="K53" s="141" t="str">
        <x:v>No</x:v>
      </x:c>
    </x:row>
    <x:row r="54">
      <x:c r="A54" s="141" t="str">
        <x:v>PF-0053</x:v>
      </x:c>
      <x:c r="B54" s="141" t="str">
        <x:v>SG-21002032026</x:v>
      </x:c>
      <x:c r="C54" s="141" t="str">
        <x:v>Q3</x:v>
      </x:c>
      <x:c r="D54" s="141" t="str">
        <x:v>Smartwatch Production</x:v>
      </x:c>
      <x:c r="E54" s="141" t="n">
        <x:v>65</x:v>
      </x:c>
      <x:c r="F54" s="141" t="n">
        <x:v>59</x:v>
      </x:c>
      <x:c r="G54" s="141" t="n">
        <x:v>81</x:v>
      </x:c>
      <x:c r="H54" s="141" t="n">
        <x:v>66.1</x:v>
      </x:c>
      <x:c r="I54" s="141" t="str">
        <x:v>Meets</x:v>
      </x:c>
      <x:c r="J54" s="141" t="str">
        <x:v>Yes</x:v>
      </x:c>
      <x:c r="K54" s="141" t="str">
        <x:v>Yes</x:v>
      </x:c>
    </x:row>
    <x:row r="55">
      <x:c r="A55" s="141" t="str">
        <x:v>PF-0054</x:v>
      </x:c>
      <x:c r="B55" s="141" t="str">
        <x:v>SG-21002032026</x:v>
      </x:c>
      <x:c r="C55" s="141" t="str">
        <x:v>Q4</x:v>
      </x:c>
      <x:c r="D55" s="141" t="str">
        <x:v>Smartwatch Production</x:v>
      </x:c>
      <x:c r="E55" s="141" t="n">
        <x:v>90</x:v>
      </x:c>
      <x:c r="F55" s="141" t="n">
        <x:v>94</x:v>
      </x:c>
      <x:c r="G55" s="141" t="n">
        <x:v>94</x:v>
      </x:c>
      <x:c r="H55" s="141" t="n">
        <x:v>92.2</x:v>
      </x:c>
      <x:c r="I55" s="141" t="str">
        <x:v>Exceptional</x:v>
      </x:c>
      <x:c r="J55" s="141" t="str">
        <x:v>Yes</x:v>
      </x:c>
      <x:c r="K55" s="141" t="str">
        <x:v>No</x:v>
      </x:c>
    </x:row>
    <x:row r="56">
      <x:c r="A56" s="141" t="str">
        <x:v>PF-0055</x:v>
      </x:c>
      <x:c r="B56" s="141" t="str">
        <x:v>SG-21022031927</x:v>
      </x:c>
      <x:c r="C56" s="141" t="str">
        <x:v>Q1</x:v>
      </x:c>
      <x:c r="D56" s="141" t="str">
        <x:v>Smartwatch Production</x:v>
      </x:c>
      <x:c r="E56" s="141" t="n">
        <x:v>56</x:v>
      </x:c>
      <x:c r="F56" s="141" t="n">
        <x:v>71</x:v>
      </x:c>
      <x:c r="G56" s="141" t="n">
        <x:v>51</x:v>
      </x:c>
      <x:c r="H56" s="141" t="n">
        <x:v>60.2</x:v>
      </x:c>
      <x:c r="I56" s="141" t="str">
        <x:v>Needs Improvement</x:v>
      </x:c>
      <x:c r="J56" s="141" t="str">
        <x:v>Yes</x:v>
      </x:c>
      <x:c r="K56" s="141" t="str">
        <x:v>Yes</x:v>
      </x:c>
    </x:row>
    <x:row r="57">
      <x:c r="A57" s="141" t="str">
        <x:v>PF-0056</x:v>
      </x:c>
      <x:c r="B57" s="141" t="str">
        <x:v>SG-21015012328</x:v>
      </x:c>
      <x:c r="C57" s="141" t="str">
        <x:v>Q1</x:v>
      </x:c>
      <x:c r="D57" s="141" t="str">
        <x:v>Smartwatch Production</x:v>
      </x:c>
      <x:c r="E57" s="141" t="n">
        <x:v>49</x:v>
      </x:c>
      <x:c r="F57" s="141" t="n">
        <x:v>68</x:v>
      </x:c>
      <x:c r="G57" s="141" t="n">
        <x:v>71</x:v>
      </x:c>
      <x:c r="H57" s="141" t="n">
        <x:v>60</x:v>
      </x:c>
      <x:c r="I57" s="141" t="str">
        <x:v>Needs Improvement</x:v>
      </x:c>
      <x:c r="J57" s="141" t="str">
        <x:v>No</x:v>
      </x:c>
      <x:c r="K57" s="141" t="str">
        <x:v>No</x:v>
      </x:c>
    </x:row>
    <x:row r="58">
      <x:c r="A58" s="141" t="str">
        <x:v>PF-0057</x:v>
      </x:c>
      <x:c r="B58" s="141" t="str">
        <x:v>SG-21015012328</x:v>
      </x:c>
      <x:c r="C58" s="141" t="str">
        <x:v>Q2</x:v>
      </x:c>
      <x:c r="D58" s="141" t="str">
        <x:v>Smartwatch Production</x:v>
      </x:c>
      <x:c r="E58" s="141" t="n">
        <x:v>77</x:v>
      </x:c>
      <x:c r="F58" s="141" t="n">
        <x:v>67</x:v>
      </x:c>
      <x:c r="G58" s="141" t="n">
        <x:v>76</x:v>
      </x:c>
      <x:c r="H58" s="141" t="n">
        <x:v>73.3</x:v>
      </x:c>
      <x:c r="I58" s="141" t="str">
        <x:v>Meets</x:v>
      </x:c>
      <x:c r="J58" s="141" t="str">
        <x:v>No</x:v>
      </x:c>
      <x:c r="K58" s="141" t="str">
        <x:v>No</x:v>
      </x:c>
    </x:row>
    <x:row r="59">
      <x:c r="A59" s="141" t="str">
        <x:v>PF-0058</x:v>
      </x:c>
      <x:c r="B59" s="141" t="str">
        <x:v>SG-21015012328</x:v>
      </x:c>
      <x:c r="C59" s="141" t="str">
        <x:v>Q3</x:v>
      </x:c>
      <x:c r="D59" s="141" t="str">
        <x:v>Smartwatch Production</x:v>
      </x:c>
      <x:c r="E59" s="141" t="n">
        <x:v>90</x:v>
      </x:c>
      <x:c r="F59" s="141" t="n">
        <x:v>88</x:v>
      </x:c>
      <x:c r="G59" s="141" t="n">
        <x:v>82</x:v>
      </x:c>
      <x:c r="H59" s="141" t="n">
        <x:v>87.7</x:v>
      </x:c>
      <x:c r="I59" s="141" t="str">
        <x:v>Exceeds</x:v>
      </x:c>
      <x:c r="J59" s="141" t="str">
        <x:v>Yes</x:v>
      </x:c>
      <x:c r="K59" s="141" t="str">
        <x:v>No</x:v>
      </x:c>
    </x:row>
    <x:row r="60">
      <x:c r="A60" s="141" t="str">
        <x:v>PF-0059</x:v>
      </x:c>
      <x:c r="B60" s="141" t="str">
        <x:v>SG-21015012328</x:v>
      </x:c>
      <x:c r="C60" s="141" t="str">
        <x:v>Q4</x:v>
      </x:c>
      <x:c r="D60" s="141" t="str">
        <x:v>Smartwatch Production</x:v>
      </x:c>
      <x:c r="E60" s="141" t="n">
        <x:v>84</x:v>
      </x:c>
      <x:c r="F60" s="141" t="n">
        <x:v>88</x:v>
      </x:c>
      <x:c r="G60" s="141" t="n">
        <x:v>90</x:v>
      </x:c>
      <x:c r="H60" s="141" t="n">
        <x:v>86.6</x:v>
      </x:c>
      <x:c r="I60" s="141" t="str">
        <x:v>Exceeds</x:v>
      </x:c>
      <x:c r="J60" s="141" t="str">
        <x:v>Yes</x:v>
      </x:c>
      <x:c r="K60" s="141" t="str">
        <x:v>Yes</x:v>
      </x:c>
    </x:row>
    <x:row r="61">
      <x:c r="A61" s="141" t="str">
        <x:v>PF-0060</x:v>
      </x:c>
      <x:c r="B61" s="141" t="str">
        <x:v>SG-21016092329</x:v>
      </x:c>
      <x:c r="C61" s="141" t="str">
        <x:v>Q1</x:v>
      </x:c>
      <x:c r="D61" s="141" t="str">
        <x:v>Smartwatch Production</x:v>
      </x:c>
      <x:c r="E61" s="141" t="n">
        <x:v>56</x:v>
      </x:c>
      <x:c r="F61" s="141" t="n">
        <x:v>58</x:v>
      </x:c>
      <x:c r="G61" s="141" t="n">
        <x:v>48</x:v>
      </x:c>
      <x:c r="H61" s="141" t="n">
        <x:v>55.1</x:v>
      </x:c>
      <x:c r="I61" s="141" t="str">
        <x:v>Needs Improvement</x:v>
      </x:c>
      <x:c r="J61" s="141" t="str">
        <x:v>Yes</x:v>
      </x:c>
      <x:c r="K61" s="141" t="str">
        <x:v>Yes</x:v>
      </x:c>
    </x:row>
    <x:row r="62">
      <x:c r="A62" s="141" t="str">
        <x:v>PF-0061</x:v>
      </x:c>
      <x:c r="B62" s="141" t="str">
        <x:v>SG-21016092329</x:v>
      </x:c>
      <x:c r="C62" s="141" t="str">
        <x:v>Q2</x:v>
      </x:c>
      <x:c r="D62" s="141" t="str">
        <x:v>Smartwatch Production</x:v>
      </x:c>
      <x:c r="E62" s="141" t="n">
        <x:v>78</x:v>
      </x:c>
      <x:c r="F62" s="141" t="n">
        <x:v>81</x:v>
      </x:c>
      <x:c r="G62" s="141" t="n">
        <x:v>70</x:v>
      </x:c>
      <x:c r="H62" s="141" t="n">
        <x:v>77.5</x:v>
      </x:c>
      <x:c r="I62" s="141" t="str">
        <x:v>Meets</x:v>
      </x:c>
      <x:c r="J62" s="141" t="str">
        <x:v>No</x:v>
      </x:c>
      <x:c r="K62" s="141" t="str">
        <x:v>No</x:v>
      </x:c>
    </x:row>
    <x:row r="63">
      <x:c r="A63" s="141" t="str">
        <x:v>PF-0062</x:v>
      </x:c>
      <x:c r="B63" s="141" t="str">
        <x:v>SG-21016092329</x:v>
      </x:c>
      <x:c r="C63" s="141" t="str">
        <x:v>Q3</x:v>
      </x:c>
      <x:c r="D63" s="141" t="str">
        <x:v>Smartwatch Production</x:v>
      </x:c>
      <x:c r="E63" s="141" t="n">
        <x:v>73</x:v>
      </x:c>
      <x:c r="F63" s="141" t="n">
        <x:v>77</x:v>
      </x:c>
      <x:c r="G63" s="141" t="n">
        <x:v>79</x:v>
      </x:c>
      <x:c r="H63" s="141" t="n">
        <x:v>75.6</x:v>
      </x:c>
      <x:c r="I63" s="141" t="str">
        <x:v>Meets</x:v>
      </x:c>
      <x:c r="J63" s="141" t="str">
        <x:v>No</x:v>
      </x:c>
      <x:c r="K63" s="141" t="str">
        <x:v>Yes</x:v>
      </x:c>
    </x:row>
    <x:row r="64">
      <x:c r="A64" s="141" t="str">
        <x:v>PF-0063</x:v>
      </x:c>
      <x:c r="B64" s="141" t="str">
        <x:v>SG-21016092329</x:v>
      </x:c>
      <x:c r="C64" s="141" t="str">
        <x:v>Q4</x:v>
      </x:c>
      <x:c r="D64" s="141" t="str">
        <x:v>Smartwatch Production</x:v>
      </x:c>
      <x:c r="E64" s="141" t="n">
        <x:v>66</x:v>
      </x:c>
      <x:c r="F64" s="141" t="n">
        <x:v>90</x:v>
      </x:c>
      <x:c r="G64" s="141" t="n">
        <x:v>86</x:v>
      </x:c>
      <x:c r="H64" s="141" t="n">
        <x:v>78.4</x:v>
      </x:c>
      <x:c r="I64" s="141" t="str">
        <x:v>Meets</x:v>
      </x:c>
      <x:c r="J64" s="141" t="str">
        <x:v>Yes</x:v>
      </x:c>
      <x:c r="K64" s="141" t="str">
        <x:v>Yes</x:v>
      </x:c>
    </x:row>
    <x:row r="65">
      <x:c r="A65" s="141" t="str">
        <x:v>PF-0064</x:v>
      </x:c>
      <x:c r="B65" s="141" t="str">
        <x:v>SG-21012042030</x:v>
      </x:c>
      <x:c r="C65" s="141" t="str">
        <x:v>Q1</x:v>
      </x:c>
      <x:c r="D65" s="141" t="str">
        <x:v>Smartwatch Production</x:v>
      </x:c>
      <x:c r="E65" s="141" t="n">
        <x:v>62</x:v>
      </x:c>
      <x:c r="F65" s="141" t="n">
        <x:v>51</x:v>
      </x:c>
      <x:c r="G65" s="141" t="n">
        <x:v>57</x:v>
      </x:c>
      <x:c r="H65" s="141" t="n">
        <x:v>57.1</x:v>
      </x:c>
      <x:c r="I65" s="141" t="str">
        <x:v>Needs Improvement</x:v>
      </x:c>
      <x:c r="J65" s="141" t="str">
        <x:v>No</x:v>
      </x:c>
      <x:c r="K65" s="141" t="str">
        <x:v>Yes</x:v>
      </x:c>
    </x:row>
    <x:row r="66">
      <x:c r="A66" s="141" t="str">
        <x:v>PF-0065</x:v>
      </x:c>
      <x:c r="B66" s="141" t="str">
        <x:v>SG-21026012031</x:v>
      </x:c>
      <x:c r="C66" s="141" t="str">
        <x:v>Q1</x:v>
      </x:c>
      <x:c r="D66" s="141" t="str">
        <x:v>Smartwatch Production</x:v>
      </x:c>
      <x:c r="E66" s="141" t="n">
        <x:v>49</x:v>
      </x:c>
      <x:c r="F66" s="141" t="n">
        <x:v>64</x:v>
      </x:c>
      <x:c r="G66" s="141" t="n">
        <x:v>66</x:v>
      </x:c>
      <x:c r="H66" s="141" t="n">
        <x:v>57.7</x:v>
      </x:c>
      <x:c r="I66" s="141" t="str">
        <x:v>Needs Improvement</x:v>
      </x:c>
      <x:c r="J66" s="141" t="str">
        <x:v>Yes</x:v>
      </x:c>
      <x:c r="K66" s="141" t="str">
        <x:v>No</x:v>
      </x:c>
    </x:row>
    <x:row r="67">
      <x:c r="A67" s="141" t="str">
        <x:v>PF-0066</x:v>
      </x:c>
      <x:c r="B67" s="141" t="str">
        <x:v>SG-21026012031</x:v>
      </x:c>
      <x:c r="C67" s="141" t="str">
        <x:v>Q2</x:v>
      </x:c>
      <x:c r="D67" s="141" t="str">
        <x:v>Smartwatch Production</x:v>
      </x:c>
      <x:c r="E67" s="141" t="n">
        <x:v>88</x:v>
      </x:c>
      <x:c r="F67" s="141" t="n">
        <x:v>81</x:v>
      </x:c>
      <x:c r="G67" s="141" t="n">
        <x:v>74</x:v>
      </x:c>
      <x:c r="H67" s="141" t="n">
        <x:v>82.8</x:v>
      </x:c>
      <x:c r="I67" s="141" t="str">
        <x:v>Exceeds</x:v>
      </x:c>
      <x:c r="J67" s="141" t="str">
        <x:v>Yes</x:v>
      </x:c>
      <x:c r="K67" s="141" t="str">
        <x:v>No</x:v>
      </x:c>
    </x:row>
    <x:row r="68">
      <x:c r="A68" s="141" t="str">
        <x:v>PF-0067</x:v>
      </x:c>
      <x:c r="B68" s="141" t="str">
        <x:v>SG-21026012031</x:v>
      </x:c>
      <x:c r="C68" s="141" t="str">
        <x:v>Q3</x:v>
      </x:c>
      <x:c r="D68" s="141" t="str">
        <x:v>Smartwatch Production</x:v>
      </x:c>
      <x:c r="E68" s="141" t="n">
        <x:v>86</x:v>
      </x:c>
      <x:c r="F68" s="141" t="n">
        <x:v>92</x:v>
      </x:c>
      <x:c r="G68" s="141" t="n">
        <x:v>82</x:v>
      </x:c>
      <x:c r="H68" s="141" t="n">
        <x:v>87.3</x:v>
      </x:c>
      <x:c r="I68" s="141" t="str">
        <x:v>Exceeds</x:v>
      </x:c>
      <x:c r="J68" s="141" t="str">
        <x:v>No</x:v>
      </x:c>
      <x:c r="K68" s="141" t="str">
        <x:v>Yes</x:v>
      </x:c>
    </x:row>
    <x:row r="69">
      <x:c r="A69" s="141" t="str">
        <x:v>PF-0068</x:v>
      </x:c>
      <x:c r="B69" s="141" t="str">
        <x:v>SG-21026012031</x:v>
      </x:c>
      <x:c r="C69" s="141" t="str">
        <x:v>Q4</x:v>
      </x:c>
      <x:c r="D69" s="141" t="str">
        <x:v>Smartwatch Production</x:v>
      </x:c>
      <x:c r="E69" s="141" t="n">
        <x:v>88</x:v>
      </x:c>
      <x:c r="F69" s="141" t="n">
        <x:v>98</x:v>
      </x:c>
      <x:c r="G69" s="141" t="n">
        <x:v>90</x:v>
      </x:c>
      <x:c r="H69" s="141" t="n">
        <x:v>91.9</x:v>
      </x:c>
      <x:c r="I69" s="141" t="str">
        <x:v>Exceptional</x:v>
      </x:c>
      <x:c r="J69" s="141" t="str">
        <x:v>Yes</x:v>
      </x:c>
      <x:c r="K69" s="141" t="str">
        <x:v>No</x:v>
      </x:c>
    </x:row>
    <x:row r="70">
      <x:c r="A70" s="141" t="str">
        <x:v>PF-0069</x:v>
      </x:c>
      <x:c r="B70" s="141" t="str">
        <x:v>SG-21004112432</x:v>
      </x:c>
      <x:c r="C70" s="141" t="str">
        <x:v>Q1</x:v>
      </x:c>
      <x:c r="D70" s="141" t="str">
        <x:v>Smartwatch Production</x:v>
      </x:c>
      <x:c r="E70" s="141" t="n">
        <x:v>54</x:v>
      </x:c>
      <x:c r="F70" s="141" t="n">
        <x:v>50</x:v>
      </x:c>
      <x:c r="G70" s="141" t="n">
        <x:v>59</x:v>
      </x:c>
      <x:c r="H70" s="141" t="n">
        <x:v>53.6</x:v>
      </x:c>
      <x:c r="I70" s="141" t="str">
        <x:v>Needs Improvement</x:v>
      </x:c>
      <x:c r="J70" s="141" t="str">
        <x:v>No</x:v>
      </x:c>
      <x:c r="K70" s="141" t="str">
        <x:v>No</x:v>
      </x:c>
    </x:row>
    <x:row r="71">
      <x:c r="A71" s="141" t="str">
        <x:v>PF-0070</x:v>
      </x:c>
      <x:c r="B71" s="141" t="str">
        <x:v>SG-21029082333</x:v>
      </x:c>
      <x:c r="C71" s="141" t="str">
        <x:v>Q1</x:v>
      </x:c>
      <x:c r="D71" s="141" t="str">
        <x:v>Smartwatch Production</x:v>
      </x:c>
      <x:c r="E71" s="141" t="n">
        <x:v>57</x:v>
      </x:c>
      <x:c r="F71" s="141" t="n">
        <x:v>48</x:v>
      </x:c>
      <x:c r="G71" s="141" t="n">
        <x:v>65</x:v>
      </x:c>
      <x:c r="H71" s="141" t="n">
        <x:v>55.5</x:v>
      </x:c>
      <x:c r="I71" s="141" t="str">
        <x:v>Needs Improvement</x:v>
      </x:c>
      <x:c r="J71" s="141" t="str">
        <x:v>Yes</x:v>
      </x:c>
      <x:c r="K71" s="141" t="str">
        <x:v>No</x:v>
      </x:c>
    </x:row>
    <x:row r="72">
      <x:c r="A72" s="141" t="str">
        <x:v>PF-0071</x:v>
      </x:c>
      <x:c r="B72" s="141" t="str">
        <x:v>SG-21010121834</x:v>
      </x:c>
      <x:c r="C72" s="141" t="str">
        <x:v>Q1</x:v>
      </x:c>
      <x:c r="D72" s="141" t="str">
        <x:v>Smartwatch Production</x:v>
      </x:c>
      <x:c r="E72" s="141" t="n">
        <x:v>65</x:v>
      </x:c>
      <x:c r="F72" s="141" t="n">
        <x:v>65</x:v>
      </x:c>
      <x:c r="G72" s="141" t="n">
        <x:v>53</x:v>
      </x:c>
      <x:c r="H72" s="141" t="n">
        <x:v>62.6</x:v>
      </x:c>
      <x:c r="I72" s="141" t="str">
        <x:v>Needs Improvement</x:v>
      </x:c>
      <x:c r="J72" s="141" t="str">
        <x:v>Yes</x:v>
      </x:c>
      <x:c r="K72" s="141" t="str">
        <x:v>No</x:v>
      </x:c>
    </x:row>
    <x:row r="73">
      <x:c r="A73" s="141" t="str">
        <x:v>PF-0072</x:v>
      </x:c>
      <x:c r="B73" s="141" t="str">
        <x:v>SG-21010121834</x:v>
      </x:c>
      <x:c r="C73" s="141" t="str">
        <x:v>Q2</x:v>
      </x:c>
      <x:c r="D73" s="141" t="str">
        <x:v>Smartwatch Production</x:v>
      </x:c>
      <x:c r="E73" s="141" t="n">
        <x:v>83</x:v>
      </x:c>
      <x:c r="F73" s="141" t="n">
        <x:v>68</x:v>
      </x:c>
      <x:c r="G73" s="141" t="n">
        <x:v>73</x:v>
      </x:c>
      <x:c r="H73" s="141" t="n">
        <x:v>75.8</x:v>
      </x:c>
      <x:c r="I73" s="141" t="str">
        <x:v>Meets</x:v>
      </x:c>
      <x:c r="J73" s="141" t="str">
        <x:v>Yes</x:v>
      </x:c>
      <x:c r="K73" s="141" t="str">
        <x:v>No</x:v>
      </x:c>
    </x:row>
    <x:row r="74">
      <x:c r="A74" s="141" t="str">
        <x:v>PF-0073</x:v>
      </x:c>
      <x:c r="B74" s="141" t="str">
        <x:v>SG-21014052035</x:v>
      </x:c>
      <x:c r="C74" s="141" t="str">
        <x:v>Q1</x:v>
      </x:c>
      <x:c r="D74" s="141" t="str">
        <x:v>Smartwatch Production</x:v>
      </x:c>
      <x:c r="E74" s="141" t="n">
        <x:v>50</x:v>
      </x:c>
      <x:c r="F74" s="141" t="n">
        <x:v>54</x:v>
      </x:c>
      <x:c r="G74" s="141" t="n">
        <x:v>62</x:v>
      </x:c>
      <x:c r="H74" s="141" t="n">
        <x:v>53.8</x:v>
      </x:c>
      <x:c r="I74" s="141" t="str">
        <x:v>Needs Improvement</x:v>
      </x:c>
      <x:c r="J74" s="141" t="str">
        <x:v>Yes</x:v>
      </x:c>
      <x:c r="K74" s="141" t="str">
        <x:v>No</x:v>
      </x:c>
    </x:row>
    <x:row r="75">
      <x:c r="A75" s="141" t="str">
        <x:v>PF-0074</x:v>
      </x:c>
      <x:c r="B75" s="141" t="str">
        <x:v>SG-21021101936</x:v>
      </x:c>
      <x:c r="C75" s="141" t="str">
        <x:v>Q1</x:v>
      </x:c>
      <x:c r="D75" s="141" t="str">
        <x:v>Smartwatch Production</x:v>
      </x:c>
      <x:c r="E75" s="141" t="n">
        <x:v>77</x:v>
      </x:c>
      <x:c r="F75" s="141" t="n">
        <x:v>55</x:v>
      </x:c>
      <x:c r="G75" s="141" t="n">
        <x:v>59</x:v>
      </x:c>
      <x:c r="H75" s="141" t="n">
        <x:v>65.7</x:v>
      </x:c>
      <x:c r="I75" s="141" t="str">
        <x:v>Meets</x:v>
      </x:c>
      <x:c r="J75" s="141" t="str">
        <x:v>Yes</x:v>
      </x:c>
      <x:c r="K75" s="141" t="str">
        <x:v>Yes</x:v>
      </x:c>
    </x:row>
    <x:row r="76">
      <x:c r="A76" s="141" t="str">
        <x:v>PF-0075</x:v>
      </x:c>
      <x:c r="B76" s="141" t="str">
        <x:v>SG-21021101936</x:v>
      </x:c>
      <x:c r="C76" s="141" t="str">
        <x:v>Q2</x:v>
      </x:c>
      <x:c r="D76" s="141" t="str">
        <x:v>Smartwatch Production</x:v>
      </x:c>
      <x:c r="E76" s="141" t="n">
        <x:v>44</x:v>
      </x:c>
      <x:c r="F76" s="141" t="n">
        <x:v>73</x:v>
      </x:c>
      <x:c r="G76" s="141" t="n">
        <x:v>64</x:v>
      </x:c>
      <x:c r="H76" s="141" t="n">
        <x:v>58.1</x:v>
      </x:c>
      <x:c r="I76" s="141" t="str">
        <x:v>Needs Improvement</x:v>
      </x:c>
      <x:c r="J76" s="141" t="str">
        <x:v>Yes</x:v>
      </x:c>
      <x:c r="K76" s="141" t="str">
        <x:v>No</x:v>
      </x:c>
    </x:row>
    <x:row r="77">
      <x:c r="A77" s="141" t="str">
        <x:v>PF-0076</x:v>
      </x:c>
      <x:c r="B77" s="141" t="str">
        <x:v>SG-21021101936</x:v>
      </x:c>
      <x:c r="C77" s="141" t="str">
        <x:v>Q3</x:v>
      </x:c>
      <x:c r="D77" s="141" t="str">
        <x:v>Smartwatch Production</x:v>
      </x:c>
      <x:c r="E77" s="141" t="n">
        <x:v>76</x:v>
      </x:c>
      <x:c r="F77" s="141" t="n">
        <x:v>73</x:v>
      </x:c>
      <x:c r="G77" s="141" t="n">
        <x:v>80</x:v>
      </x:c>
      <x:c r="H77" s="141" t="n">
        <x:v>75.8</x:v>
      </x:c>
      <x:c r="I77" s="141" t="str">
        <x:v>Meets</x:v>
      </x:c>
      <x:c r="J77" s="141" t="str">
        <x:v>Yes</x:v>
      </x:c>
      <x:c r="K77" s="141" t="str">
        <x:v>Yes</x:v>
      </x:c>
    </x:row>
    <x:row r="78">
      <x:c r="A78" s="141" t="str">
        <x:v>PF-0077</x:v>
      </x:c>
      <x:c r="B78" s="141" t="str">
        <x:v>SG-21022042437</x:v>
      </x:c>
      <x:c r="C78" s="141" t="str">
        <x:v>Q1</x:v>
      </x:c>
      <x:c r="D78" s="141" t="str">
        <x:v>Smartwatch Production</x:v>
      </x:c>
      <x:c r="E78" s="141" t="n">
        <x:v>61</x:v>
      </x:c>
      <x:c r="F78" s="141" t="n">
        <x:v>51</x:v>
      </x:c>
      <x:c r="G78" s="141" t="n">
        <x:v>56</x:v>
      </x:c>
      <x:c r="H78" s="141" t="n">
        <x:v>56.5</x:v>
      </x:c>
      <x:c r="I78" s="141" t="str">
        <x:v>Needs Improvement</x:v>
      </x:c>
      <x:c r="J78" s="141" t="str">
        <x:v>Yes</x:v>
      </x:c>
      <x:c r="K78" s="141" t="str">
        <x:v>No</x:v>
      </x:c>
    </x:row>
    <x:row r="79">
      <x:c r="A79" s="141" t="str">
        <x:v>PF-0078</x:v>
      </x:c>
      <x:c r="B79" s="141" t="str">
        <x:v>SG-21022042437</x:v>
      </x:c>
      <x:c r="C79" s="141" t="str">
        <x:v>Q2</x:v>
      </x:c>
      <x:c r="D79" s="141" t="str">
        <x:v>Smartwatch Production</x:v>
      </x:c>
      <x:c r="E79" s="141" t="n">
        <x:v>61</x:v>
      </x:c>
      <x:c r="F79" s="141" t="n">
        <x:v>73</x:v>
      </x:c>
      <x:c r="G79" s="141" t="n">
        <x:v>72</x:v>
      </x:c>
      <x:c r="H79" s="141" t="n">
        <x:v>67.4</x:v>
      </x:c>
      <x:c r="I79" s="141" t="str">
        <x:v>Meets</x:v>
      </x:c>
      <x:c r="J79" s="141" t="str">
        <x:v>Yes</x:v>
      </x:c>
      <x:c r="K79" s="141" t="str">
        <x:v>No</x:v>
      </x:c>
    </x:row>
    <x:row r="80">
      <x:c r="A80" s="141" t="str">
        <x:v>PF-0079</x:v>
      </x:c>
      <x:c r="B80" s="141" t="str">
        <x:v>SG-21022042437</x:v>
      </x:c>
      <x:c r="C80" s="141" t="str">
        <x:v>Q3</x:v>
      </x:c>
      <x:c r="D80" s="141" t="str">
        <x:v>Smartwatch Production</x:v>
      </x:c>
      <x:c r="E80" s="141" t="n">
        <x:v>74</x:v>
      </x:c>
      <x:c r="F80" s="141" t="n">
        <x:v>76</x:v>
      </x:c>
      <x:c r="G80" s="141" t="n">
        <x:v>80</x:v>
      </x:c>
      <x:c r="H80" s="141" t="n">
        <x:v>75.9</x:v>
      </x:c>
      <x:c r="I80" s="141" t="str">
        <x:v>Meets</x:v>
      </x:c>
      <x:c r="J80" s="141" t="str">
        <x:v>Yes</x:v>
      </x:c>
      <x:c r="K80" s="141" t="str">
        <x:v>Yes</x:v>
      </x:c>
    </x:row>
    <x:row r="81">
      <x:c r="A81" s="141" t="str">
        <x:v>PF-0080</x:v>
      </x:c>
      <x:c r="B81" s="141" t="str">
        <x:v>SG-21022042437</x:v>
      </x:c>
      <x:c r="C81" s="141" t="str">
        <x:v>Q4</x:v>
      </x:c>
      <x:c r="D81" s="141" t="str">
        <x:v>Smartwatch Production</x:v>
      </x:c>
      <x:c r="E81" s="141" t="n">
        <x:v>94</x:v>
      </x:c>
      <x:c r="F81" s="141" t="n">
        <x:v>99</x:v>
      </x:c>
      <x:c r="G81" s="141" t="n">
        <x:v>91</x:v>
      </x:c>
      <x:c r="H81" s="141" t="n">
        <x:v>95.2</x:v>
      </x:c>
      <x:c r="I81" s="141" t="str">
        <x:v>Exceptional</x:v>
      </x:c>
      <x:c r="J81" s="141" t="str">
        <x:v>Yes</x:v>
      </x:c>
      <x:c r="K81" s="141" t="str">
        <x:v>Yes</x:v>
      </x:c>
    </x:row>
    <x:row r="82">
      <x:c r="A82" s="141" t="str">
        <x:v>PF-0081</x:v>
      </x:c>
      <x:c r="B82" s="141" t="str">
        <x:v>SG-21014122238</x:v>
      </x:c>
      <x:c r="C82" s="141" t="str">
        <x:v>Q1</x:v>
      </x:c>
      <x:c r="D82" s="141" t="str">
        <x:v>Smartwatch Production</x:v>
      </x:c>
      <x:c r="E82" s="141" t="n">
        <x:v>49</x:v>
      </x:c>
      <x:c r="F82" s="141" t="n">
        <x:v>49</x:v>
      </x:c>
      <x:c r="G82" s="141" t="n">
        <x:v>66</x:v>
      </x:c>
      <x:c r="H82" s="141" t="n">
        <x:v>52.4</x:v>
      </x:c>
      <x:c r="I82" s="141" t="str">
        <x:v>Needs Improvement</x:v>
      </x:c>
      <x:c r="J82" s="141" t="str">
        <x:v>No</x:v>
      </x:c>
      <x:c r="K82" s="141" t="str">
        <x:v>Yes</x:v>
      </x:c>
    </x:row>
    <x:row r="83">
      <x:c r="A83" s="141" t="str">
        <x:v>PF-0082</x:v>
      </x:c>
      <x:c r="B83" s="141" t="str">
        <x:v>SG-21014032139</x:v>
      </x:c>
      <x:c r="C83" s="141" t="str">
        <x:v>Q1</x:v>
      </x:c>
      <x:c r="D83" s="141" t="str">
        <x:v>Smartwatch Production</x:v>
      </x:c>
      <x:c r="E83" s="141" t="n">
        <x:v>58</x:v>
      </x:c>
      <x:c r="F83" s="141" t="n">
        <x:v>60</x:v>
      </x:c>
      <x:c r="G83" s="141" t="n">
        <x:v>62</x:v>
      </x:c>
      <x:c r="H83" s="141" t="n">
        <x:v>59.5</x:v>
      </x:c>
      <x:c r="I83" s="141" t="str">
        <x:v>Needs Improvement</x:v>
      </x:c>
      <x:c r="J83" s="141" t="str">
        <x:v>Yes</x:v>
      </x:c>
      <x:c r="K83" s="141" t="str">
        <x:v>Yes</x:v>
      </x:c>
    </x:row>
    <x:row r="84">
      <x:c r="A84" s="141" t="str">
        <x:v>PF-0083</x:v>
      </x:c>
      <x:c r="B84" s="141" t="str">
        <x:v>SG-21014032139</x:v>
      </x:c>
      <x:c r="C84" s="141" t="str">
        <x:v>Q2</x:v>
      </x:c>
      <x:c r="D84" s="141" t="str">
        <x:v>Smartwatch Production</x:v>
      </x:c>
      <x:c r="E84" s="141" t="n">
        <x:v>86</x:v>
      </x:c>
      <x:c r="F84" s="141" t="n">
        <x:v>79</x:v>
      </x:c>
      <x:c r="G84" s="141" t="n">
        <x:v>76</x:v>
      </x:c>
      <x:c r="H84" s="141" t="n">
        <x:v>81.5</x:v>
      </x:c>
      <x:c r="I84" s="141" t="str">
        <x:v>Exceeds</x:v>
      </x:c>
      <x:c r="J84" s="141" t="str">
        <x:v>Yes</x:v>
      </x:c>
      <x:c r="K84" s="141" t="str">
        <x:v>Yes</x:v>
      </x:c>
    </x:row>
    <x:row r="85">
      <x:c r="A85" s="141" t="str">
        <x:v>PF-0084</x:v>
      </x:c>
      <x:c r="B85" s="141" t="str">
        <x:v>SG-21014032139</x:v>
      </x:c>
      <x:c r="C85" s="141" t="str">
        <x:v>Q3</x:v>
      </x:c>
      <x:c r="D85" s="141" t="str">
        <x:v>Smartwatch Production</x:v>
      </x:c>
      <x:c r="E85" s="141" t="n">
        <x:v>70</x:v>
      </x:c>
      <x:c r="F85" s="141" t="n">
        <x:v>100</x:v>
      </x:c>
      <x:c r="G85" s="141" t="n">
        <x:v>81</x:v>
      </x:c>
      <x:c r="H85" s="141" t="n">
        <x:v>82.7</x:v>
      </x:c>
      <x:c r="I85" s="141" t="str">
        <x:v>Exceeds</x:v>
      </x:c>
      <x:c r="J85" s="141" t="str">
        <x:v>No</x:v>
      </x:c>
      <x:c r="K85" s="141" t="str">
        <x:v>No</x:v>
      </x:c>
    </x:row>
    <x:row r="86">
      <x:c r="A86" s="141" t="str">
        <x:v>PF-0085</x:v>
      </x:c>
      <x:c r="B86" s="141" t="str">
        <x:v>SG-21014032139</x:v>
      </x:c>
      <x:c r="C86" s="141" t="str">
        <x:v>Q4</x:v>
      </x:c>
      <x:c r="D86" s="141" t="str">
        <x:v>Smartwatch Production</x:v>
      </x:c>
      <x:c r="E86" s="141" t="n">
        <x:v>87</x:v>
      </x:c>
      <x:c r="F86" s="141" t="n">
        <x:v>89</x:v>
      </x:c>
      <x:c r="G86" s="141" t="n">
        <x:v>81</x:v>
      </x:c>
      <x:c r="H86" s="141" t="n">
        <x:v>86.5</x:v>
      </x:c>
      <x:c r="I86" s="141" t="str">
        <x:v>Exceeds</x:v>
      </x:c>
      <x:c r="J86" s="141" t="str">
        <x:v>Yes</x:v>
      </x:c>
      <x:c r="K86" s="141" t="str">
        <x:v>No</x:v>
      </x:c>
    </x:row>
    <x:row r="87">
      <x:c r="A87" s="141" t="str">
        <x:v>PF-0086</x:v>
      </x:c>
      <x:c r="B87" s="141" t="str">
        <x:v>SG-21027072040</x:v>
      </x:c>
      <x:c r="C87" s="141" t="str">
        <x:v>Q1</x:v>
      </x:c>
      <x:c r="D87" s="141" t="str">
        <x:v>Smartwatch Production</x:v>
      </x:c>
      <x:c r="E87" s="141" t="n">
        <x:v>44</x:v>
      </x:c>
      <x:c r="F87" s="141" t="n">
        <x:v>60</x:v>
      </x:c>
      <x:c r="G87" s="141" t="n">
        <x:v>69</x:v>
      </x:c>
      <x:c r="H87" s="141" t="n">
        <x:v>54.6</x:v>
      </x:c>
      <x:c r="I87" s="141" t="str">
        <x:v>Needs Improvement</x:v>
      </x:c>
      <x:c r="J87" s="141" t="str">
        <x:v>Yes</x:v>
      </x:c>
      <x:c r="K87" s="141" t="str">
        <x:v>No</x:v>
      </x:c>
    </x:row>
    <x:row r="88">
      <x:c r="A88" s="141" t="str">
        <x:v>PF-0087</x:v>
      </x:c>
      <x:c r="B88" s="141" t="str">
        <x:v>SG-21007012041</x:v>
      </x:c>
      <x:c r="C88" s="141" t="str">
        <x:v>Q1</x:v>
      </x:c>
      <x:c r="D88" s="141" t="str">
        <x:v>Smartwatch Production</x:v>
      </x:c>
      <x:c r="E88" s="141" t="n">
        <x:v>49</x:v>
      </x:c>
      <x:c r="F88" s="141" t="n">
        <x:v>70</x:v>
      </x:c>
      <x:c r="G88" s="141" t="n">
        <x:v>60</x:v>
      </x:c>
      <x:c r="H88" s="141" t="n">
        <x:v>58.5</x:v>
      </x:c>
      <x:c r="I88" s="141" t="str">
        <x:v>Needs Improvement</x:v>
      </x:c>
      <x:c r="J88" s="141" t="str">
        <x:v>Yes</x:v>
      </x:c>
      <x:c r="K88" s="141" t="str">
        <x:v>Yes</x:v>
      </x:c>
    </x:row>
    <x:row r="89">
      <x:c r="A89" s="141" t="str">
        <x:v>PF-0088</x:v>
      </x:c>
      <x:c r="B89" s="141" t="str">
        <x:v>SG-21007012041</x:v>
      </x:c>
      <x:c r="C89" s="141" t="str">
        <x:v>Q2</x:v>
      </x:c>
      <x:c r="D89" s="141" t="str">
        <x:v>Smartwatch Production</x:v>
      </x:c>
      <x:c r="E89" s="141" t="n">
        <x:v>58</x:v>
      </x:c>
      <x:c r="F89" s="141" t="n">
        <x:v>62</x:v>
      </x:c>
      <x:c r="G89" s="141" t="n">
        <x:v>65</x:v>
      </x:c>
      <x:c r="H89" s="141" t="n">
        <x:v>60.8</x:v>
      </x:c>
      <x:c r="I89" s="141" t="str">
        <x:v>Needs Improvement</x:v>
      </x:c>
      <x:c r="J89" s="141" t="str">
        <x:v>Yes</x:v>
      </x:c>
      <x:c r="K89" s="141" t="str">
        <x:v>Yes</x:v>
      </x:c>
    </x:row>
    <x:row r="90">
      <x:c r="A90" s="141" t="str">
        <x:v>PF-0089</x:v>
      </x:c>
      <x:c r="B90" s="141" t="str">
        <x:v>SG-21007012041</x:v>
      </x:c>
      <x:c r="C90" s="141" t="str">
        <x:v>Q3</x:v>
      </x:c>
      <x:c r="D90" s="141" t="str">
        <x:v>Smartwatch Production</x:v>
      </x:c>
      <x:c r="E90" s="141" t="n">
        <x:v>68</x:v>
      </x:c>
      <x:c r="F90" s="141" t="n">
        <x:v>80</x:v>
      </x:c>
      <x:c r="G90" s="141" t="n">
        <x:v>84</x:v>
      </x:c>
      <x:c r="H90" s="141" t="n">
        <x:v>75.4</x:v>
      </x:c>
      <x:c r="I90" s="141" t="str">
        <x:v>Meets</x:v>
      </x:c>
      <x:c r="J90" s="141" t="str">
        <x:v>Yes</x:v>
      </x:c>
      <x:c r="K90" s="141" t="str">
        <x:v>Yes</x:v>
      </x:c>
    </x:row>
    <x:row r="91">
      <x:c r="A91" s="141" t="str">
        <x:v>PF-0090</x:v>
      </x:c>
      <x:c r="B91" s="141" t="str">
        <x:v>SG-21007012041</x:v>
      </x:c>
      <x:c r="C91" s="141" t="str">
        <x:v>Q4</x:v>
      </x:c>
      <x:c r="D91" s="141" t="str">
        <x:v>Smartwatch Production</x:v>
      </x:c>
      <x:c r="E91" s="141" t="n">
        <x:v>79</x:v>
      </x:c>
      <x:c r="F91" s="141" t="n">
        <x:v>73</x:v>
      </x:c>
      <x:c r="G91" s="141" t="n">
        <x:v>76</x:v>
      </x:c>
      <x:c r="H91" s="141" t="n">
        <x:v>76.3</x:v>
      </x:c>
      <x:c r="I91" s="141" t="str">
        <x:v>Meets</x:v>
      </x:c>
      <x:c r="J91" s="141" t="str">
        <x:v>Yes</x:v>
      </x:c>
      <x:c r="K91" s="141" t="str">
        <x:v>Yes</x:v>
      </x:c>
    </x:row>
    <x:row r="92">
      <x:c r="A92" s="141" t="str">
        <x:v>PF-0091</x:v>
      </x:c>
      <x:c r="B92" s="141" t="str">
        <x:v>SG-21030102342</x:v>
      </x:c>
      <x:c r="C92" s="141" t="str">
        <x:v>Q1</x:v>
      </x:c>
      <x:c r="D92" s="141" t="str">
        <x:v>Smartwatch Production</x:v>
      </x:c>
      <x:c r="E92" s="141" t="n">
        <x:v>60</x:v>
      </x:c>
      <x:c r="F92" s="141" t="n">
        <x:v>58</x:v>
      </x:c>
      <x:c r="G92" s="141" t="n">
        <x:v>65</x:v>
      </x:c>
      <x:c r="H92" s="141" t="n">
        <x:v>60.3</x:v>
      </x:c>
      <x:c r="I92" s="141" t="str">
        <x:v>Needs Improvement</x:v>
      </x:c>
      <x:c r="J92" s="141" t="str">
        <x:v>Yes</x:v>
      </x:c>
      <x:c r="K92" s="141" t="str">
        <x:v>No</x:v>
      </x:c>
    </x:row>
    <x:row r="93">
      <x:c r="A93" s="141" t="str">
        <x:v>PF-0092</x:v>
      </x:c>
      <x:c r="B93" s="141" t="str">
        <x:v>SG-21029042543</x:v>
      </x:c>
      <x:c r="C93" s="141" t="str">
        <x:v>Q1</x:v>
      </x:c>
      <x:c r="D93" s="141" t="str">
        <x:v>Smartwatch Production</x:v>
      </x:c>
      <x:c r="E93" s="141" t="n">
        <x:v>70</x:v>
      </x:c>
      <x:c r="F93" s="141" t="n">
        <x:v>65</x:v>
      </x:c>
      <x:c r="G93" s="141" t="n">
        <x:v>64</x:v>
      </x:c>
      <x:c r="H93" s="141" t="n">
        <x:v>67</x:v>
      </x:c>
      <x:c r="I93" s="141" t="str">
        <x:v>Meets</x:v>
      </x:c>
      <x:c r="J93" s="141" t="str">
        <x:v>Yes</x:v>
      </x:c>
      <x:c r="K93" s="141" t="str">
        <x:v>No</x:v>
      </x:c>
    </x:row>
    <x:row r="94">
      <x:c r="A94" s="141" t="str">
        <x:v>PF-0093</x:v>
      </x:c>
      <x:c r="B94" s="141" t="str">
        <x:v>SG-21002032244</x:v>
      </x:c>
      <x:c r="C94" s="141" t="str">
        <x:v>Q1</x:v>
      </x:c>
      <x:c r="D94" s="141" t="str">
        <x:v>Smartwatch Production</x:v>
      </x:c>
      <x:c r="E94" s="141" t="n">
        <x:v>66</x:v>
      </x:c>
      <x:c r="F94" s="141" t="n">
        <x:v>54</x:v>
      </x:c>
      <x:c r="G94" s="141" t="n">
        <x:v>61</x:v>
      </x:c>
      <x:c r="H94" s="141" t="n">
        <x:v>60.8</x:v>
      </x:c>
      <x:c r="I94" s="141" t="str">
        <x:v>Needs Improvement</x:v>
      </x:c>
      <x:c r="J94" s="141" t="str">
        <x:v>No</x:v>
      </x:c>
      <x:c r="K94" s="141" t="str">
        <x:v>No</x:v>
      </x:c>
    </x:row>
    <x:row r="95">
      <x:c r="A95" s="141" t="str">
        <x:v>PF-0094</x:v>
      </x:c>
      <x:c r="B95" s="141" t="str">
        <x:v>SG-21002032244</x:v>
      </x:c>
      <x:c r="C95" s="141" t="str">
        <x:v>Q2</x:v>
      </x:c>
      <x:c r="D95" s="141" t="str">
        <x:v>Smartwatch Production</x:v>
      </x:c>
      <x:c r="E95" s="141" t="n">
        <x:v>78</x:v>
      </x:c>
      <x:c r="F95" s="141" t="n">
        <x:v>81</x:v>
      </x:c>
      <x:c r="G95" s="141" t="n">
        <x:v>59</x:v>
      </x:c>
      <x:c r="H95" s="141" t="n">
        <x:v>75.2</x:v>
      </x:c>
      <x:c r="I95" s="141" t="str">
        <x:v>Meets</x:v>
      </x:c>
      <x:c r="J95" s="141" t="str">
        <x:v>No</x:v>
      </x:c>
      <x:c r="K95" s="141" t="str">
        <x:v>Yes</x:v>
      </x:c>
    </x:row>
    <x:row r="96">
      <x:c r="A96" s="141" t="str">
        <x:v>PF-0095</x:v>
      </x:c>
      <x:c r="B96" s="141" t="str">
        <x:v>SG-21002032244</x:v>
      </x:c>
      <x:c r="C96" s="141" t="str">
        <x:v>Q3</x:v>
      </x:c>
      <x:c r="D96" s="141" t="str">
        <x:v>Smartwatch Production</x:v>
      </x:c>
      <x:c r="E96" s="141" t="n">
        <x:v>74</x:v>
      </x:c>
      <x:c r="F96" s="141" t="n">
        <x:v>81</x:v>
      </x:c>
      <x:c r="G96" s="141" t="n">
        <x:v>82</x:v>
      </x:c>
      <x:c r="H96" s="141" t="n">
        <x:v>78.1</x:v>
      </x:c>
      <x:c r="I96" s="141" t="str">
        <x:v>Meets</x:v>
      </x:c>
      <x:c r="J96" s="141" t="str">
        <x:v>Yes</x:v>
      </x:c>
      <x:c r="K96" s="141" t="str">
        <x:v>Yes</x:v>
      </x:c>
    </x:row>
    <x:row r="97">
      <x:c r="A97" s="141" t="str">
        <x:v>PF-0096</x:v>
      </x:c>
      <x:c r="B97" s="141" t="str">
        <x:v>SG-21002032244</x:v>
      </x:c>
      <x:c r="C97" s="141" t="str">
        <x:v>Q4</x:v>
      </x:c>
      <x:c r="D97" s="141" t="str">
        <x:v>Smartwatch Production</x:v>
      </x:c>
      <x:c r="E97" s="141" t="n">
        <x:v>87</x:v>
      </x:c>
      <x:c r="F97" s="141" t="n">
        <x:v>92</x:v>
      </x:c>
      <x:c r="G97" s="141" t="n">
        <x:v>80</x:v>
      </x:c>
      <x:c r="H97" s="141" t="n">
        <x:v>87.3</x:v>
      </x:c>
      <x:c r="I97" s="141" t="str">
        <x:v>Exceeds</x:v>
      </x:c>
      <x:c r="J97" s="141" t="str">
        <x:v>Yes</x:v>
      </x:c>
      <x:c r="K97" s="141" t="str">
        <x:v>No</x:v>
      </x:c>
    </x:row>
    <x:row r="98">
      <x:c r="A98" s="141" t="str">
        <x:v>PF-0097</x:v>
      </x:c>
      <x:c r="B98" s="141" t="str">
        <x:v>SG-21007011845</x:v>
      </x:c>
      <x:c r="C98" s="141" t="str">
        <x:v>Q1</x:v>
      </x:c>
      <x:c r="D98" s="141" t="str">
        <x:v>Smartwatch Production</x:v>
      </x:c>
      <x:c r="E98" s="141" t="n">
        <x:v>45</x:v>
      </x:c>
      <x:c r="F98" s="141" t="n">
        <x:v>54</x:v>
      </x:c>
      <x:c r="G98" s="141" t="n">
        <x:v>69</x:v>
      </x:c>
      <x:c r="H98" s="141" t="n">
        <x:v>53</x:v>
      </x:c>
      <x:c r="I98" s="141" t="str">
        <x:v>Needs Improvement</x:v>
      </x:c>
      <x:c r="J98" s="141" t="str">
        <x:v>No</x:v>
      </x:c>
      <x:c r="K98" s="141" t="str">
        <x:v>No</x:v>
      </x:c>
    </x:row>
    <x:row r="99">
      <x:c r="A99" s="141" t="str">
        <x:v>PF-0098</x:v>
      </x:c>
      <x:c r="B99" s="141" t="str">
        <x:v>SG-22022072001</x:v>
      </x:c>
      <x:c r="C99" s="141" t="str">
        <x:v>Q1</x:v>
      </x:c>
      <x:c r="D99" s="141" t="str">
        <x:v>Quality Assurance</x:v>
      </x:c>
      <x:c r="E99" s="141" t="n">
        <x:v>58</x:v>
      </x:c>
      <x:c r="F99" s="141" t="n">
        <x:v>63</x:v>
      </x:c>
      <x:c r="G99" s="141" t="n">
        <x:v>67</x:v>
      </x:c>
      <x:c r="H99" s="141" t="n">
        <x:v>61.5</x:v>
      </x:c>
      <x:c r="I99" s="141" t="str">
        <x:v>Needs Improvement</x:v>
      </x:c>
      <x:c r="J99" s="141" t="str">
        <x:v>Yes</x:v>
      </x:c>
      <x:c r="K99" s="141" t="str">
        <x:v>No</x:v>
      </x:c>
    </x:row>
    <x:row r="100">
      <x:c r="A100" s="141" t="str">
        <x:v>PF-0099</x:v>
      </x:c>
      <x:c r="B100" s="141" t="str">
        <x:v>SG-22022072001</x:v>
      </x:c>
      <x:c r="C100" s="141" t="str">
        <x:v>Q2</x:v>
      </x:c>
      <x:c r="D100" s="141" t="str">
        <x:v>Quality Assurance</x:v>
      </x:c>
      <x:c r="E100" s="141" t="n">
        <x:v>67</x:v>
      </x:c>
      <x:c r="F100" s="141" t="n">
        <x:v>85</x:v>
      </x:c>
      <x:c r="G100" s="141" t="n">
        <x:v>71</x:v>
      </x:c>
      <x:c r="H100" s="141" t="n">
        <x:v>74.1</x:v>
      </x:c>
      <x:c r="I100" s="141" t="str">
        <x:v>Meets</x:v>
      </x:c>
      <x:c r="J100" s="141" t="str">
        <x:v>Yes</x:v>
      </x:c>
      <x:c r="K100" s="141" t="str">
        <x:v>No</x:v>
      </x:c>
    </x:row>
    <x:row r="101">
      <x:c r="A101" s="141" t="str">
        <x:v>PF-0100</x:v>
      </x:c>
      <x:c r="B101" s="141" t="str">
        <x:v>SG-22022072001</x:v>
      </x:c>
      <x:c r="C101" s="141" t="str">
        <x:v>Q3</x:v>
      </x:c>
      <x:c r="D101" s="141" t="str">
        <x:v>Quality Assurance</x:v>
      </x:c>
      <x:c r="E101" s="141" t="n">
        <x:v>75</x:v>
      </x:c>
      <x:c r="F101" s="141" t="n">
        <x:v>73</x:v>
      </x:c>
      <x:c r="G101" s="141" t="n">
        <x:v>75</x:v>
      </x:c>
      <x:c r="H101" s="141" t="n">
        <x:v>74.3</x:v>
      </x:c>
      <x:c r="I101" s="141" t="str">
        <x:v>Meets</x:v>
      </x:c>
      <x:c r="J101" s="141" t="str">
        <x:v>Yes</x:v>
      </x:c>
      <x:c r="K101" s="141" t="str">
        <x:v>Yes</x:v>
      </x:c>
    </x:row>
    <x:row r="102">
      <x:c r="A102" s="141" t="str">
        <x:v>PF-0101</x:v>
      </x:c>
      <x:c r="B102" s="141" t="str">
        <x:v>SG-22027072502</x:v>
      </x:c>
      <x:c r="C102" s="141" t="str">
        <x:v>Q1</x:v>
      </x:c>
      <x:c r="D102" s="141" t="str">
        <x:v>Quality Assurance</x:v>
      </x:c>
      <x:c r="E102" s="141" t="n">
        <x:v>65</x:v>
      </x:c>
      <x:c r="F102" s="141" t="n">
        <x:v>69</x:v>
      </x:c>
      <x:c r="G102" s="141" t="n">
        <x:v>77</x:v>
      </x:c>
      <x:c r="H102" s="141" t="n">
        <x:v>68.8</x:v>
      </x:c>
      <x:c r="I102" s="141" t="str">
        <x:v>Meets</x:v>
      </x:c>
      <x:c r="J102" s="141" t="str">
        <x:v>Yes</x:v>
      </x:c>
      <x:c r="K102" s="141" t="str">
        <x:v>No</x:v>
      </x:c>
    </x:row>
    <x:row r="103">
      <x:c r="A103" s="141" t="str">
        <x:v>PF-0102</x:v>
      </x:c>
      <x:c r="B103" s="141" t="str">
        <x:v>SG-22027072502</x:v>
      </x:c>
      <x:c r="C103" s="141" t="str">
        <x:v>Q2</x:v>
      </x:c>
      <x:c r="D103" s="141" t="str">
        <x:v>Quality Assurance</x:v>
      </x:c>
      <x:c r="E103" s="141" t="n">
        <x:v>71</x:v>
      </x:c>
      <x:c r="F103" s="141" t="n">
        <x:v>79</x:v>
      </x:c>
      <x:c r="G103" s="141" t="n">
        <x:v>78</x:v>
      </x:c>
      <x:c r="H103" s="141" t="n">
        <x:v>75.2</x:v>
      </x:c>
      <x:c r="I103" s="141" t="str">
        <x:v>Meets</x:v>
      </x:c>
      <x:c r="J103" s="141" t="str">
        <x:v>Yes</x:v>
      </x:c>
      <x:c r="K103" s="141" t="str">
        <x:v>No</x:v>
      </x:c>
    </x:row>
    <x:row r="104">
      <x:c r="A104" s="141" t="str">
        <x:v>PF-0103</x:v>
      </x:c>
      <x:c r="B104" s="141" t="str">
        <x:v>SG-22027072502</x:v>
      </x:c>
      <x:c r="C104" s="141" t="str">
        <x:v>Q3</x:v>
      </x:c>
      <x:c r="D104" s="141" t="str">
        <x:v>Quality Assurance</x:v>
      </x:c>
      <x:c r="E104" s="141" t="n">
        <x:v>89</x:v>
      </x:c>
      <x:c r="F104" s="141" t="n">
        <x:v>100</x:v>
      </x:c>
      <x:c r="G104" s="141" t="n">
        <x:v>87</x:v>
      </x:c>
      <x:c r="H104" s="141" t="n">
        <x:v>92.5</x:v>
      </x:c>
      <x:c r="I104" s="141" t="str">
        <x:v>Exceptional</x:v>
      </x:c>
      <x:c r="J104" s="141" t="str">
        <x:v>Yes</x:v>
      </x:c>
      <x:c r="K104" s="141" t="str">
        <x:v>Yes</x:v>
      </x:c>
    </x:row>
    <x:row r="105">
      <x:c r="A105" s="141" t="str">
        <x:v>PF-0104</x:v>
      </x:c>
      <x:c r="B105" s="141" t="str">
        <x:v>SG-22027072502</x:v>
      </x:c>
      <x:c r="C105" s="141" t="str">
        <x:v>Q4</x:v>
      </x:c>
      <x:c r="D105" s="141" t="str">
        <x:v>Quality Assurance</x:v>
      </x:c>
      <x:c r="E105" s="141" t="n">
        <x:v>76</x:v>
      </x:c>
      <x:c r="F105" s="141" t="n">
        <x:v>97</x:v>
      </x:c>
      <x:c r="G105" s="141" t="n">
        <x:v>95</x:v>
      </x:c>
      <x:c r="H105" s="141" t="n">
        <x:v>87.2</x:v>
      </x:c>
      <x:c r="I105" s="141" t="str">
        <x:v>Exceeds</x:v>
      </x:c>
      <x:c r="J105" s="141" t="str">
        <x:v>Yes</x:v>
      </x:c>
      <x:c r="K105" s="141" t="str">
        <x:v>No</x:v>
      </x:c>
    </x:row>
    <x:row r="106">
      <x:c r="A106" s="141" t="str">
        <x:v>PF-0105</x:v>
      </x:c>
      <x:c r="B106" s="141" t="str">
        <x:v>SG-22023012003</x:v>
      </x:c>
      <x:c r="C106" s="141" t="str">
        <x:v>Q1</x:v>
      </x:c>
      <x:c r="D106" s="141" t="str">
        <x:v>Quality Assurance</x:v>
      </x:c>
      <x:c r="E106" s="141" t="n">
        <x:v>54</x:v>
      </x:c>
      <x:c r="F106" s="141" t="n">
        <x:v>73</x:v>
      </x:c>
      <x:c r="G106" s="141" t="n">
        <x:v>50</x:v>
      </x:c>
      <x:c r="H106" s="141" t="n">
        <x:v>59.8</x:v>
      </x:c>
      <x:c r="I106" s="141" t="str">
        <x:v>Needs Improvement</x:v>
      </x:c>
      <x:c r="J106" s="141" t="str">
        <x:v>Yes</x:v>
      </x:c>
      <x:c r="K106" s="141" t="str">
        <x:v>Yes</x:v>
      </x:c>
    </x:row>
    <x:row r="107">
      <x:c r="A107" s="141" t="str">
        <x:v>PF-0106</x:v>
      </x:c>
      <x:c r="B107" s="141" t="str">
        <x:v>SG-22023012003</x:v>
      </x:c>
      <x:c r="C107" s="141" t="str">
        <x:v>Q2</x:v>
      </x:c>
      <x:c r="D107" s="141" t="str">
        <x:v>Quality Assurance</x:v>
      </x:c>
      <x:c r="E107" s="141" t="n">
        <x:v>47</x:v>
      </x:c>
      <x:c r="F107" s="141" t="n">
        <x:v>81</x:v>
      </x:c>
      <x:c r="G107" s="141" t="n">
        <x:v>81</x:v>
      </x:c>
      <x:c r="H107" s="141" t="n">
        <x:v>65.7</x:v>
      </x:c>
      <x:c r="I107" s="141" t="str">
        <x:v>Meets</x:v>
      </x:c>
      <x:c r="J107" s="141" t="str">
        <x:v>No</x:v>
      </x:c>
      <x:c r="K107" s="141" t="str">
        <x:v>No</x:v>
      </x:c>
    </x:row>
    <x:row r="108">
      <x:c r="A108" s="141" t="str">
        <x:v>PF-0107</x:v>
      </x:c>
      <x:c r="B108" s="141" t="str">
        <x:v>SG-22023012003</x:v>
      </x:c>
      <x:c r="C108" s="141" t="str">
        <x:v>Q3</x:v>
      </x:c>
      <x:c r="D108" s="141" t="str">
        <x:v>Quality Assurance</x:v>
      </x:c>
      <x:c r="E108" s="141" t="n">
        <x:v>74</x:v>
      </x:c>
      <x:c r="F108" s="141" t="n">
        <x:v>79</x:v>
      </x:c>
      <x:c r="G108" s="141" t="n">
        <x:v>89</x:v>
      </x:c>
      <x:c r="H108" s="141" t="n">
        <x:v>78.8</x:v>
      </x:c>
      <x:c r="I108" s="141" t="str">
        <x:v>Meets</x:v>
      </x:c>
      <x:c r="J108" s="141" t="str">
        <x:v>Yes</x:v>
      </x:c>
      <x:c r="K108" s="141" t="str">
        <x:v>Yes</x:v>
      </x:c>
    </x:row>
    <x:row r="109">
      <x:c r="A109" s="141" t="str">
        <x:v>PF-0108</x:v>
      </x:c>
      <x:c r="B109" s="141" t="str">
        <x:v>SG-22023012003</x:v>
      </x:c>
      <x:c r="C109" s="141" t="str">
        <x:v>Q4</x:v>
      </x:c>
      <x:c r="D109" s="141" t="str">
        <x:v>Quality Assurance</x:v>
      </x:c>
      <x:c r="E109" s="141" t="n">
        <x:v>97</x:v>
      </x:c>
      <x:c r="F109" s="141" t="n">
        <x:v>88</x:v>
      </x:c>
      <x:c r="G109" s="141" t="n">
        <x:v>80</x:v>
      </x:c>
      <x:c r="H109" s="141" t="n">
        <x:v>90.4</x:v>
      </x:c>
      <x:c r="I109" s="141" t="str">
        <x:v>Exceptional</x:v>
      </x:c>
      <x:c r="J109" s="141" t="str">
        <x:v>Yes</x:v>
      </x:c>
      <x:c r="K109" s="141" t="str">
        <x:v>No</x:v>
      </x:c>
    </x:row>
    <x:row r="110">
      <x:c r="A110" s="141" t="str">
        <x:v>PF-0109</x:v>
      </x:c>
      <x:c r="B110" s="141" t="str">
        <x:v>SG-22026012504</x:v>
      </x:c>
      <x:c r="C110" s="141" t="str">
        <x:v>Q1</x:v>
      </x:c>
      <x:c r="D110" s="141" t="str">
        <x:v>Quality Assurance</x:v>
      </x:c>
      <x:c r="E110" s="141" t="n">
        <x:v>60</x:v>
      </x:c>
      <x:c r="F110" s="141" t="n">
        <x:v>71</x:v>
      </x:c>
      <x:c r="G110" s="141" t="n">
        <x:v>58</x:v>
      </x:c>
      <x:c r="H110" s="141" t="n">
        <x:v>63.4</x:v>
      </x:c>
      <x:c r="I110" s="141" t="str">
        <x:v>Needs Improvement</x:v>
      </x:c>
      <x:c r="J110" s="141" t="str">
        <x:v>No</x:v>
      </x:c>
      <x:c r="K110" s="141" t="str">
        <x:v>No</x:v>
      </x:c>
    </x:row>
    <x:row r="111">
      <x:c r="A111" s="141" t="str">
        <x:v>PF-0110</x:v>
      </x:c>
      <x:c r="B111" s="141" t="str">
        <x:v>SG-22026012504</x:v>
      </x:c>
      <x:c r="C111" s="141" t="str">
        <x:v>Q2</x:v>
      </x:c>
      <x:c r="D111" s="141" t="str">
        <x:v>Quality Assurance</x:v>
      </x:c>
      <x:c r="E111" s="141" t="n">
        <x:v>51</x:v>
      </x:c>
      <x:c r="F111" s="141" t="n">
        <x:v>63</x:v>
      </x:c>
      <x:c r="G111" s="141" t="n">
        <x:v>68</x:v>
      </x:c>
      <x:c r="H111" s="141" t="n">
        <x:v>58.6</x:v>
      </x:c>
      <x:c r="I111" s="141" t="str">
        <x:v>Needs Improvement</x:v>
      </x:c>
      <x:c r="J111" s="141" t="str">
        <x:v>No</x:v>
      </x:c>
      <x:c r="K111" s="141" t="str">
        <x:v>No</x:v>
      </x:c>
    </x:row>
    <x:row r="112">
      <x:c r="A112" s="141" t="str">
        <x:v>PF-0111</x:v>
      </x:c>
      <x:c r="B112" s="141" t="str">
        <x:v>SG-22026012504</x:v>
      </x:c>
      <x:c r="C112" s="141" t="str">
        <x:v>Q3</x:v>
      </x:c>
      <x:c r="D112" s="141" t="str">
        <x:v>Quality Assurance</x:v>
      </x:c>
      <x:c r="E112" s="141" t="n">
        <x:v>85</x:v>
      </x:c>
      <x:c r="F112" s="141" t="n">
        <x:v>93</x:v>
      </x:c>
      <x:c r="G112" s="141" t="n">
        <x:v>85</x:v>
      </x:c>
      <x:c r="H112" s="141" t="n">
        <x:v>87.8</x:v>
      </x:c>
      <x:c r="I112" s="141" t="str">
        <x:v>Exceeds</x:v>
      </x:c>
      <x:c r="J112" s="141" t="str">
        <x:v>Yes</x:v>
      </x:c>
      <x:c r="K112" s="141" t="str">
        <x:v>Yes</x:v>
      </x:c>
    </x:row>
    <x:row r="113">
      <x:c r="A113" s="141" t="str">
        <x:v>PF-0112</x:v>
      </x:c>
      <x:c r="B113" s="141" t="str">
        <x:v>SG-22026012504</x:v>
      </x:c>
      <x:c r="C113" s="141" t="str">
        <x:v>Q4</x:v>
      </x:c>
      <x:c r="D113" s="141" t="str">
        <x:v>Quality Assurance</x:v>
      </x:c>
      <x:c r="E113" s="141" t="n">
        <x:v>74</x:v>
      </x:c>
      <x:c r="F113" s="141" t="n">
        <x:v>100</x:v>
      </x:c>
      <x:c r="G113" s="141" t="n">
        <x:v>100</x:v>
      </x:c>
      <x:c r="H113" s="141" t="n">
        <x:v>88.3</x:v>
      </x:c>
      <x:c r="I113" s="141" t="str">
        <x:v>Exceeds</x:v>
      </x:c>
      <x:c r="J113" s="141" t="str">
        <x:v>Yes</x:v>
      </x:c>
      <x:c r="K113" s="141" t="str">
        <x:v>No</x:v>
      </x:c>
    </x:row>
    <x:row r="114">
      <x:c r="A114" s="141" t="str">
        <x:v>PF-0113</x:v>
      </x:c>
      <x:c r="B114" s="141" t="str">
        <x:v>SG-22008062305</x:v>
      </x:c>
      <x:c r="C114" s="141" t="str">
        <x:v>Q1</x:v>
      </x:c>
      <x:c r="D114" s="141" t="str">
        <x:v>Quality Assurance</x:v>
      </x:c>
      <x:c r="E114" s="141" t="n">
        <x:v>65</x:v>
      </x:c>
      <x:c r="F114" s="141" t="n">
        <x:v>68</x:v>
      </x:c>
      <x:c r="G114" s="141" t="n">
        <x:v>66</x:v>
      </x:c>
      <x:c r="H114" s="141" t="n">
        <x:v>66.2</x:v>
      </x:c>
      <x:c r="I114" s="141" t="str">
        <x:v>Meets</x:v>
      </x:c>
      <x:c r="J114" s="141" t="str">
        <x:v>Yes</x:v>
      </x:c>
      <x:c r="K114" s="141" t="str">
        <x:v>No</x:v>
      </x:c>
    </x:row>
    <x:row r="115">
      <x:c r="A115" s="141" t="str">
        <x:v>PF-0114</x:v>
      </x:c>
      <x:c r="B115" s="141" t="str">
        <x:v>SG-22008062305</x:v>
      </x:c>
      <x:c r="C115" s="141" t="str">
        <x:v>Q2</x:v>
      </x:c>
      <x:c r="D115" s="141" t="str">
        <x:v>Quality Assurance</x:v>
      </x:c>
      <x:c r="E115" s="141" t="n">
        <x:v>78</x:v>
      </x:c>
      <x:c r="F115" s="141" t="n">
        <x:v>78</x:v>
      </x:c>
      <x:c r="G115" s="141" t="n">
        <x:v>64</x:v>
      </x:c>
      <x:c r="H115" s="141" t="n">
        <x:v>75.2</x:v>
      </x:c>
      <x:c r="I115" s="141" t="str">
        <x:v>Meets</x:v>
      </x:c>
      <x:c r="J115" s="141" t="str">
        <x:v>No</x:v>
      </x:c>
      <x:c r="K115" s="141" t="str">
        <x:v>Yes</x:v>
      </x:c>
    </x:row>
    <x:row r="116">
      <x:c r="A116" s="141" t="str">
        <x:v>PF-0115</x:v>
      </x:c>
      <x:c r="B116" s="141" t="str">
        <x:v>SG-22008062305</x:v>
      </x:c>
      <x:c r="C116" s="141" t="str">
        <x:v>Q3</x:v>
      </x:c>
      <x:c r="D116" s="141" t="str">
        <x:v>Quality Assurance</x:v>
      </x:c>
      <x:c r="E116" s="141" t="n">
        <x:v>95</x:v>
      </x:c>
      <x:c r="F116" s="141" t="n">
        <x:v>95</x:v>
      </x:c>
      <x:c r="G116" s="141" t="n">
        <x:v>72</x:v>
      </x:c>
      <x:c r="H116" s="141" t="n">
        <x:v>90.4</x:v>
      </x:c>
      <x:c r="I116" s="141" t="str">
        <x:v>Exceptional</x:v>
      </x:c>
      <x:c r="J116" s="141" t="str">
        <x:v>Yes</x:v>
      </x:c>
      <x:c r="K116" s="141" t="str">
        <x:v>No</x:v>
      </x:c>
    </x:row>
    <x:row r="117">
      <x:c r="A117" s="141" t="str">
        <x:v>PF-0116</x:v>
      </x:c>
      <x:c r="B117" s="141" t="str">
        <x:v>SG-22008062305</x:v>
      </x:c>
      <x:c r="C117" s="141" t="str">
        <x:v>Q4</x:v>
      </x:c>
      <x:c r="D117" s="141" t="str">
        <x:v>Quality Assurance</x:v>
      </x:c>
      <x:c r="E117" s="141" t="n">
        <x:v>94</x:v>
      </x:c>
      <x:c r="F117" s="141" t="n">
        <x:v>90</x:v>
      </x:c>
      <x:c r="G117" s="141" t="n">
        <x:v>90</x:v>
      </x:c>
      <x:c r="H117" s="141" t="n">
        <x:v>91.8</x:v>
      </x:c>
      <x:c r="I117" s="141" t="str">
        <x:v>Exceptional</x:v>
      </x:c>
      <x:c r="J117" s="141" t="str">
        <x:v>Yes</x:v>
      </x:c>
      <x:c r="K117" s="141" t="str">
        <x:v>No</x:v>
      </x:c>
    </x:row>
    <x:row r="118">
      <x:c r="A118" s="141" t="str">
        <x:v>PF-0117</x:v>
      </x:c>
      <x:c r="B118" s="141" t="str">
        <x:v>SG-22008082406</x:v>
      </x:c>
      <x:c r="C118" s="141" t="str">
        <x:v>Q1</x:v>
      </x:c>
      <x:c r="D118" s="141" t="str">
        <x:v>Quality Assurance</x:v>
      </x:c>
      <x:c r="E118" s="141" t="n">
        <x:v>62</x:v>
      </x:c>
      <x:c r="F118" s="141" t="n">
        <x:v>75</x:v>
      </x:c>
      <x:c r="G118" s="141" t="n">
        <x:v>61</x:v>
      </x:c>
      <x:c r="H118" s="141" t="n">
        <x:v>66.4</x:v>
      </x:c>
      <x:c r="I118" s="141" t="str">
        <x:v>Meets</x:v>
      </x:c>
      <x:c r="J118" s="141" t="str">
        <x:v>No</x:v>
      </x:c>
      <x:c r="K118" s="141" t="str">
        <x:v>No</x:v>
      </x:c>
    </x:row>
    <x:row r="119">
      <x:c r="A119" s="141" t="str">
        <x:v>PF-0118</x:v>
      </x:c>
      <x:c r="B119" s="141" t="str">
        <x:v>SG-22027062107</x:v>
      </x:c>
      <x:c r="C119" s="141" t="str">
        <x:v>Q1</x:v>
      </x:c>
      <x:c r="D119" s="141" t="str">
        <x:v>Quality Assurance</x:v>
      </x:c>
      <x:c r="E119" s="141" t="n">
        <x:v>46</x:v>
      </x:c>
      <x:c r="F119" s="141" t="n">
        <x:v>60</x:v>
      </x:c>
      <x:c r="G119" s="141" t="n">
        <x:v>64</x:v>
      </x:c>
      <x:c r="H119" s="141" t="n">
        <x:v>54.5</x:v>
      </x:c>
      <x:c r="I119" s="141" t="str">
        <x:v>Needs Improvement</x:v>
      </x:c>
      <x:c r="J119" s="141" t="str">
        <x:v>No</x:v>
      </x:c>
      <x:c r="K119" s="141" t="str">
        <x:v>No</x:v>
      </x:c>
    </x:row>
    <x:row r="120">
      <x:c r="A120" s="141" t="str">
        <x:v>PF-0119</x:v>
      </x:c>
      <x:c r="B120" s="141" t="str">
        <x:v>SG-22027062107</x:v>
      </x:c>
      <x:c r="C120" s="141" t="str">
        <x:v>Q2</x:v>
      </x:c>
      <x:c r="D120" s="141" t="str">
        <x:v>Quality Assurance</x:v>
      </x:c>
      <x:c r="E120" s="141" t="n">
        <x:v>60</x:v>
      </x:c>
      <x:c r="F120" s="141" t="n">
        <x:v>69</x:v>
      </x:c>
      <x:c r="G120" s="141" t="n">
        <x:v>83</x:v>
      </x:c>
      <x:c r="H120" s="141" t="n">
        <x:v>67.8</x:v>
      </x:c>
      <x:c r="I120" s="141" t="str">
        <x:v>Meets</x:v>
      </x:c>
      <x:c r="J120" s="141" t="str">
        <x:v>No</x:v>
      </x:c>
      <x:c r="K120" s="141" t="str">
        <x:v>No</x:v>
      </x:c>
    </x:row>
    <x:row r="121">
      <x:c r="A121" s="141" t="str">
        <x:v>PF-0120</x:v>
      </x:c>
      <x:c r="B121" s="141" t="str">
        <x:v>SG-22027062107</x:v>
      </x:c>
      <x:c r="C121" s="141" t="str">
        <x:v>Q3</x:v>
      </x:c>
      <x:c r="D121" s="141" t="str">
        <x:v>Quality Assurance</x:v>
      </x:c>
      <x:c r="E121" s="141" t="n">
        <x:v>64</x:v>
      </x:c>
      <x:c r="F121" s="141" t="n">
        <x:v>71</x:v>
      </x:c>
      <x:c r="G121" s="141" t="n">
        <x:v>74</x:v>
      </x:c>
      <x:c r="H121" s="141" t="n">
        <x:v>68.5</x:v>
      </x:c>
      <x:c r="I121" s="141" t="str">
        <x:v>Meets</x:v>
      </x:c>
      <x:c r="J121" s="141" t="str">
        <x:v>Yes</x:v>
      </x:c>
      <x:c r="K121" s="141" t="str">
        <x:v>Yes</x:v>
      </x:c>
    </x:row>
    <x:row r="122">
      <x:c r="A122" s="141" t="str">
        <x:v>PF-0121</x:v>
      </x:c>
      <x:c r="B122" s="141" t="str">
        <x:v>SG-22027062107</x:v>
      </x:c>
      <x:c r="C122" s="141" t="str">
        <x:v>Q4</x:v>
      </x:c>
      <x:c r="D122" s="141" t="str">
        <x:v>Quality Assurance</x:v>
      </x:c>
      <x:c r="E122" s="141" t="n">
        <x:v>65</x:v>
      </x:c>
      <x:c r="F122" s="141" t="n">
        <x:v>74</x:v>
      </x:c>
      <x:c r="G122" s="141" t="n">
        <x:v>99</x:v>
      </x:c>
      <x:c r="H122" s="141" t="n">
        <x:v>75</x:v>
      </x:c>
      <x:c r="I122" s="141" t="str">
        <x:v>Meets</x:v>
      </x:c>
      <x:c r="J122" s="141" t="str">
        <x:v>Yes</x:v>
      </x:c>
      <x:c r="K122" s="141" t="str">
        <x:v>Yes</x:v>
      </x:c>
    </x:row>
    <x:row r="123">
      <x:c r="A123" s="141" t="str">
        <x:v>PF-0122</x:v>
      </x:c>
      <x:c r="B123" s="141" t="str">
        <x:v>SG-22004012208</x:v>
      </x:c>
      <x:c r="C123" s="141" t="str">
        <x:v>Q1</x:v>
      </x:c>
      <x:c r="D123" s="141" t="str">
        <x:v>Quality Assurance</x:v>
      </x:c>
      <x:c r="E123" s="141" t="n">
        <x:v>68</x:v>
      </x:c>
      <x:c r="F123" s="141" t="n">
        <x:v>69</x:v>
      </x:c>
      <x:c r="G123" s="141" t="n">
        <x:v>47</x:v>
      </x:c>
      <x:c r="H123" s="141" t="n">
        <x:v>64.2</x:v>
      </x:c>
      <x:c r="I123" s="141" t="str">
        <x:v>Needs Improvement</x:v>
      </x:c>
      <x:c r="J123" s="141" t="str">
        <x:v>Yes</x:v>
      </x:c>
      <x:c r="K123" s="141" t="str">
        <x:v>No</x:v>
      </x:c>
    </x:row>
    <x:row r="124">
      <x:c r="A124" s="141" t="str">
        <x:v>PF-0123</x:v>
      </x:c>
      <x:c r="B124" s="141" t="str">
        <x:v>SG-22004012208</x:v>
      </x:c>
      <x:c r="C124" s="141" t="str">
        <x:v>Q2</x:v>
      </x:c>
      <x:c r="D124" s="141" t="str">
        <x:v>Quality Assurance</x:v>
      </x:c>
      <x:c r="E124" s="141" t="n">
        <x:v>73</x:v>
      </x:c>
      <x:c r="F124" s="141" t="n">
        <x:v>66</x:v>
      </x:c>
      <x:c r="G124" s="141" t="n">
        <x:v>76</x:v>
      </x:c>
      <x:c r="H124" s="141" t="n">
        <x:v>71.2</x:v>
      </x:c>
      <x:c r="I124" s="141" t="str">
        <x:v>Meets</x:v>
      </x:c>
      <x:c r="J124" s="141" t="str">
        <x:v>No</x:v>
      </x:c>
      <x:c r="K124" s="141" t="str">
        <x:v>No</x:v>
      </x:c>
    </x:row>
    <x:row r="125">
      <x:c r="A125" s="141" t="str">
        <x:v>PF-0124</x:v>
      </x:c>
      <x:c r="B125" s="141" t="str">
        <x:v>SG-22004012208</x:v>
      </x:c>
      <x:c r="C125" s="141" t="str">
        <x:v>Q3</x:v>
      </x:c>
      <x:c r="D125" s="141" t="str">
        <x:v>Quality Assurance</x:v>
      </x:c>
      <x:c r="E125" s="141" t="n">
        <x:v>74</x:v>
      </x:c>
      <x:c r="F125" s="141" t="n">
        <x:v>71</x:v>
      </x:c>
      <x:c r="G125" s="141" t="n">
        <x:v>76</x:v>
      </x:c>
      <x:c r="H125" s="141" t="n">
        <x:v>73.4</x:v>
      </x:c>
      <x:c r="I125" s="141" t="str">
        <x:v>Meets</x:v>
      </x:c>
      <x:c r="J125" s="141" t="str">
        <x:v>Yes</x:v>
      </x:c>
      <x:c r="K125" s="141" t="str">
        <x:v>Yes</x:v>
      </x:c>
    </x:row>
    <x:row r="126">
      <x:c r="A126" s="141" t="str">
        <x:v>PF-0125</x:v>
      </x:c>
      <x:c r="B126" s="141" t="str">
        <x:v>SG-22004012208</x:v>
      </x:c>
      <x:c r="C126" s="141" t="str">
        <x:v>Q4</x:v>
      </x:c>
      <x:c r="D126" s="141" t="str">
        <x:v>Quality Assurance</x:v>
      </x:c>
      <x:c r="E126" s="141" t="n">
        <x:v>100</x:v>
      </x:c>
      <x:c r="F126" s="141" t="n">
        <x:v>98</x:v>
      </x:c>
      <x:c r="G126" s="141" t="n">
        <x:v>85</x:v>
      </x:c>
      <x:c r="H126" s="141" t="n">
        <x:v>96.3</x:v>
      </x:c>
      <x:c r="I126" s="141" t="str">
        <x:v>Exceptional</x:v>
      </x:c>
      <x:c r="J126" s="141" t="str">
        <x:v>Yes</x:v>
      </x:c>
      <x:c r="K126" s="141" t="str">
        <x:v>Yes</x:v>
      </x:c>
    </x:row>
    <x:row r="127">
      <x:c r="A127" s="141" t="str">
        <x:v>PF-0126</x:v>
      </x:c>
      <x:c r="B127" s="141" t="str">
        <x:v>SG-22001072309</x:v>
      </x:c>
      <x:c r="C127" s="141" t="str">
        <x:v>Q1</x:v>
      </x:c>
      <x:c r="D127" s="141" t="str">
        <x:v>Quality Assurance</x:v>
      </x:c>
      <x:c r="E127" s="141" t="n">
        <x:v>59</x:v>
      </x:c>
      <x:c r="F127" s="141" t="n">
        <x:v>77</x:v>
      </x:c>
      <x:c r="G127" s="141" t="n">
        <x:v>55</x:v>
      </x:c>
      <x:c r="H127" s="141" t="n">
        <x:v>64.5</x:v>
      </x:c>
      <x:c r="I127" s="141" t="str">
        <x:v>Needs Improvement</x:v>
      </x:c>
      <x:c r="J127" s="141" t="str">
        <x:v>No</x:v>
      </x:c>
      <x:c r="K127" s="141" t="str">
        <x:v>No</x:v>
      </x:c>
    </x:row>
    <x:row r="128">
      <x:c r="A128" s="141" t="str">
        <x:v>PF-0127</x:v>
      </x:c>
      <x:c r="B128" s="141" t="str">
        <x:v>SG-22001072309</x:v>
      </x:c>
      <x:c r="C128" s="141" t="str">
        <x:v>Q2</x:v>
      </x:c>
      <x:c r="D128" s="141" t="str">
        <x:v>Quality Assurance</x:v>
      </x:c>
      <x:c r="E128" s="141" t="n">
        <x:v>58</x:v>
      </x:c>
      <x:c r="F128" s="141" t="n">
        <x:v>73</x:v>
      </x:c>
      <x:c r="G128" s="141" t="n">
        <x:v>75</x:v>
      </x:c>
      <x:c r="H128" s="141" t="n">
        <x:v>66.7</x:v>
      </x:c>
      <x:c r="I128" s="141" t="str">
        <x:v>Meets</x:v>
      </x:c>
      <x:c r="J128" s="141" t="str">
        <x:v>Yes</x:v>
      </x:c>
      <x:c r="K128" s="141" t="str">
        <x:v>Yes</x:v>
      </x:c>
    </x:row>
    <x:row r="129">
      <x:c r="A129" s="141" t="str">
        <x:v>PF-0128</x:v>
      </x:c>
      <x:c r="B129" s="141" t="str">
        <x:v>SG-22001072309</x:v>
      </x:c>
      <x:c r="C129" s="141" t="str">
        <x:v>Q3</x:v>
      </x:c>
      <x:c r="D129" s="141" t="str">
        <x:v>Quality Assurance</x:v>
      </x:c>
      <x:c r="E129" s="141" t="n">
        <x:v>81</x:v>
      </x:c>
      <x:c r="F129" s="141" t="n">
        <x:v>78</x:v>
      </x:c>
      <x:c r="G129" s="141" t="n">
        <x:v>71</x:v>
      </x:c>
      <x:c r="H129" s="141" t="n">
        <x:v>78</x:v>
      </x:c>
      <x:c r="I129" s="141" t="str">
        <x:v>Meets</x:v>
      </x:c>
      <x:c r="J129" s="141" t="str">
        <x:v>Yes</x:v>
      </x:c>
      <x:c r="K129" s="141" t="str">
        <x:v>Yes</x:v>
      </x:c>
    </x:row>
    <x:row r="130">
      <x:c r="A130" s="141" t="str">
        <x:v>PF-0129</x:v>
      </x:c>
      <x:c r="B130" s="141" t="str">
        <x:v>SG-22001072309</x:v>
      </x:c>
      <x:c r="C130" s="141" t="str">
        <x:v>Q4</x:v>
      </x:c>
      <x:c r="D130" s="141" t="str">
        <x:v>Quality Assurance</x:v>
      </x:c>
      <x:c r="E130" s="141" t="n">
        <x:v>81</x:v>
      </x:c>
      <x:c r="F130" s="141" t="n">
        <x:v>100</x:v>
      </x:c>
      <x:c r="G130" s="141" t="n">
        <x:v>90</x:v>
      </x:c>
      <x:c r="H130" s="141" t="n">
        <x:v>89.5</x:v>
      </x:c>
      <x:c r="I130" s="141" t="str">
        <x:v>Exceeds</x:v>
      </x:c>
      <x:c r="J130" s="141" t="str">
        <x:v>Yes</x:v>
      </x:c>
      <x:c r="K130" s="141" t="str">
        <x:v>No</x:v>
      </x:c>
    </x:row>
    <x:row r="131">
      <x:c r="A131" s="141" t="str">
        <x:v>PF-0130</x:v>
      </x:c>
      <x:c r="B131" s="141" t="str">
        <x:v>SG-22014022110</x:v>
      </x:c>
      <x:c r="C131" s="141" t="str">
        <x:v>Q1</x:v>
      </x:c>
      <x:c r="D131" s="141" t="str">
        <x:v>Quality Assurance</x:v>
      </x:c>
      <x:c r="E131" s="141" t="n">
        <x:v>47</x:v>
      </x:c>
      <x:c r="F131" s="141" t="n">
        <x:v>70</x:v>
      </x:c>
      <x:c r="G131" s="141" t="n">
        <x:v>80</x:v>
      </x:c>
      <x:c r="H131" s="141" t="n">
        <x:v>61.7</x:v>
      </x:c>
      <x:c r="I131" s="141" t="str">
        <x:v>Needs Improvement</x:v>
      </x:c>
      <x:c r="J131" s="141" t="str">
        <x:v>Yes</x:v>
      </x:c>
      <x:c r="K131" s="141" t="str">
        <x:v>Yes</x:v>
      </x:c>
    </x:row>
    <x:row r="132">
      <x:c r="A132" s="141" t="str">
        <x:v>PF-0131</x:v>
      </x:c>
      <x:c r="B132" s="141" t="str">
        <x:v>SG-22014022110</x:v>
      </x:c>
      <x:c r="C132" s="141" t="str">
        <x:v>Q2</x:v>
      </x:c>
      <x:c r="D132" s="141" t="str">
        <x:v>Quality Assurance</x:v>
      </x:c>
      <x:c r="E132" s="141" t="n">
        <x:v>67</x:v>
      </x:c>
      <x:c r="F132" s="141" t="n">
        <x:v>77</x:v>
      </x:c>
      <x:c r="G132" s="141" t="n">
        <x:v>81</x:v>
      </x:c>
      <x:c r="H132" s="141" t="n">
        <x:v>73.3</x:v>
      </x:c>
      <x:c r="I132" s="141" t="str">
        <x:v>Meets</x:v>
      </x:c>
      <x:c r="J132" s="141" t="str">
        <x:v>Yes</x:v>
      </x:c>
      <x:c r="K132" s="141" t="str">
        <x:v>Yes</x:v>
      </x:c>
    </x:row>
    <x:row r="133">
      <x:c r="A133" s="141" t="str">
        <x:v>PF-0132</x:v>
      </x:c>
      <x:c r="B133" s="141" t="str">
        <x:v>SG-22014022110</x:v>
      </x:c>
      <x:c r="C133" s="141" t="str">
        <x:v>Q3</x:v>
      </x:c>
      <x:c r="D133" s="141" t="str">
        <x:v>Quality Assurance</x:v>
      </x:c>
      <x:c r="E133" s="141" t="n">
        <x:v>76</x:v>
      </x:c>
      <x:c r="F133" s="141" t="n">
        <x:v>85</x:v>
      </x:c>
      <x:c r="G133" s="141" t="n">
        <x:v>82</x:v>
      </x:c>
      <x:c r="H133" s="141" t="n">
        <x:v>80.4</x:v>
      </x:c>
      <x:c r="I133" s="141" t="str">
        <x:v>Exceeds</x:v>
      </x:c>
      <x:c r="J133" s="141" t="str">
        <x:v>No</x:v>
      </x:c>
      <x:c r="K133" s="141" t="str">
        <x:v>No</x:v>
      </x:c>
    </x:row>
    <x:row r="134">
      <x:c r="A134" s="141" t="str">
        <x:v>PF-0133</x:v>
      </x:c>
      <x:c r="B134" s="141" t="str">
        <x:v>SG-22014022110</x:v>
      </x:c>
      <x:c r="C134" s="141" t="str">
        <x:v>Q4</x:v>
      </x:c>
      <x:c r="D134" s="141" t="str">
        <x:v>Quality Assurance</x:v>
      </x:c>
      <x:c r="E134" s="141" t="n">
        <x:v>100</x:v>
      </x:c>
      <x:c r="F134" s="141" t="n">
        <x:v>96</x:v>
      </x:c>
      <x:c r="G134" s="141" t="n">
        <x:v>83</x:v>
      </x:c>
      <x:c r="H134" s="141" t="n">
        <x:v>95.2</x:v>
      </x:c>
      <x:c r="I134" s="141" t="str">
        <x:v>Exceptional</x:v>
      </x:c>
      <x:c r="J134" s="141" t="str">
        <x:v>Yes</x:v>
      </x:c>
      <x:c r="K134" s="141" t="str">
        <x:v>No</x:v>
      </x:c>
    </x:row>
    <x:row r="135">
      <x:c r="A135" s="141" t="str">
        <x:v>PF-0134</x:v>
      </x:c>
      <x:c r="B135" s="141" t="str">
        <x:v>SG-23013052101</x:v>
      </x:c>
      <x:c r="C135" s="141" t="str">
        <x:v>Q1</x:v>
      </x:c>
      <x:c r="D135" s="141" t="str">
        <x:v>Engineering and Maintenance</x:v>
      </x:c>
      <x:c r="E135" s="141" t="n">
        <x:v>41</x:v>
      </x:c>
      <x:c r="F135" s="141" t="n">
        <x:v>64</x:v>
      </x:c>
      <x:c r="G135" s="141" t="n">
        <x:v>60</x:v>
      </x:c>
      <x:c r="H135" s="141" t="n">
        <x:v>52.8</x:v>
      </x:c>
      <x:c r="I135" s="141" t="str">
        <x:v>Needs Improvement</x:v>
      </x:c>
      <x:c r="J135" s="141" t="str">
        <x:v>No</x:v>
      </x:c>
      <x:c r="K135" s="141" t="str">
        <x:v>Yes</x:v>
      </x:c>
    </x:row>
    <x:row r="136">
      <x:c r="A136" s="141" t="str">
        <x:v>PF-0135</x:v>
      </x:c>
      <x:c r="B136" s="141" t="str">
        <x:v>SG-23013052101</x:v>
      </x:c>
      <x:c r="C136" s="141" t="str">
        <x:v>Q2</x:v>
      </x:c>
      <x:c r="D136" s="141" t="str">
        <x:v>Engineering and Maintenance</x:v>
      </x:c>
      <x:c r="E136" s="141" t="n">
        <x:v>68</x:v>
      </x:c>
      <x:c r="F136" s="141" t="n">
        <x:v>74</x:v>
      </x:c>
      <x:c r="G136" s="141" t="n">
        <x:v>68</x:v>
      </x:c>
      <x:c r="H136" s="141" t="n">
        <x:v>70.1</x:v>
      </x:c>
      <x:c r="I136" s="141" t="str">
        <x:v>Meets</x:v>
      </x:c>
      <x:c r="J136" s="141" t="str">
        <x:v>Yes</x:v>
      </x:c>
      <x:c r="K136" s="141" t="str">
        <x:v>Yes</x:v>
      </x:c>
    </x:row>
    <x:row r="137">
      <x:c r="A137" s="141" t="str">
        <x:v>PF-0136</x:v>
      </x:c>
      <x:c r="B137" s="141" t="str">
        <x:v>SG-23013052101</x:v>
      </x:c>
      <x:c r="C137" s="141" t="str">
        <x:v>Q3</x:v>
      </x:c>
      <x:c r="D137" s="141" t="str">
        <x:v>Engineering and Maintenance</x:v>
      </x:c>
      <x:c r="E137" s="141" t="n">
        <x:v>86</x:v>
      </x:c>
      <x:c r="F137" s="141" t="n">
        <x:v>76</x:v>
      </x:c>
      <x:c r="G137" s="141" t="n">
        <x:v>80</x:v>
      </x:c>
      <x:c r="H137" s="141" t="n">
        <x:v>81.3</x:v>
      </x:c>
      <x:c r="I137" s="141" t="str">
        <x:v>Exceeds</x:v>
      </x:c>
      <x:c r="J137" s="141" t="str">
        <x:v>Yes</x:v>
      </x:c>
      <x:c r="K137" s="141" t="str">
        <x:v>No</x:v>
      </x:c>
    </x:row>
    <x:row r="138">
      <x:c r="A138" s="141" t="str">
        <x:v>PF-0137</x:v>
      </x:c>
      <x:c r="B138" s="141" t="str">
        <x:v>SG-23013052101</x:v>
      </x:c>
      <x:c r="C138" s="141" t="str">
        <x:v>Q4</x:v>
      </x:c>
      <x:c r="D138" s="141" t="str">
        <x:v>Engineering and Maintenance</x:v>
      </x:c>
      <x:c r="E138" s="141" t="n">
        <x:v>89</x:v>
      </x:c>
      <x:c r="F138" s="141" t="n">
        <x:v>85</x:v>
      </x:c>
      <x:c r="G138" s="141" t="n">
        <x:v>86</x:v>
      </x:c>
      <x:c r="H138" s="141" t="n">
        <x:v>87</x:v>
      </x:c>
      <x:c r="I138" s="141" t="str">
        <x:v>Exceeds</x:v>
      </x:c>
      <x:c r="J138" s="141" t="str">
        <x:v>Yes</x:v>
      </x:c>
      <x:c r="K138" s="141" t="str">
        <x:v>No</x:v>
      </x:c>
    </x:row>
    <x:row r="139">
      <x:c r="A139" s="141" t="str">
        <x:v>PF-0138</x:v>
      </x:c>
      <x:c r="B139" s="141" t="str">
        <x:v>SG-23025082102</x:v>
      </x:c>
      <x:c r="C139" s="141" t="str">
        <x:v>Q1</x:v>
      </x:c>
      <x:c r="D139" s="141" t="str">
        <x:v>Engineering and Maintenance</x:v>
      </x:c>
      <x:c r="E139" s="141" t="n">
        <x:v>50</x:v>
      </x:c>
      <x:c r="F139" s="141" t="n">
        <x:v>57</x:v>
      </x:c>
      <x:c r="G139" s="141" t="n">
        <x:v>62</x:v>
      </x:c>
      <x:c r="H139" s="141" t="n">
        <x:v>54.9</x:v>
      </x:c>
      <x:c r="I139" s="141" t="str">
        <x:v>Needs Improvement</x:v>
      </x:c>
      <x:c r="J139" s="141" t="str">
        <x:v>Yes</x:v>
      </x:c>
      <x:c r="K139" s="141" t="str">
        <x:v>Yes</x:v>
      </x:c>
    </x:row>
    <x:row r="140">
      <x:c r="A140" s="141" t="str">
        <x:v>PF-0139</x:v>
      </x:c>
      <x:c r="B140" s="141" t="str">
        <x:v>SG-23025082102</x:v>
      </x:c>
      <x:c r="C140" s="141" t="str">
        <x:v>Q2</x:v>
      </x:c>
      <x:c r="D140" s="141" t="str">
        <x:v>Engineering and Maintenance</x:v>
      </x:c>
      <x:c r="E140" s="141" t="n">
        <x:v>62</x:v>
      </x:c>
      <x:c r="F140" s="141" t="n">
        <x:v>68</x:v>
      </x:c>
      <x:c r="G140" s="141" t="n">
        <x:v>65</x:v>
      </x:c>
      <x:c r="H140" s="141" t="n">
        <x:v>64.7</x:v>
      </x:c>
      <x:c r="I140" s="141" t="str">
        <x:v>Needs Improvement</x:v>
      </x:c>
      <x:c r="J140" s="141" t="str">
        <x:v>No</x:v>
      </x:c>
      <x:c r="K140" s="141" t="str">
        <x:v>No</x:v>
      </x:c>
    </x:row>
    <x:row r="141">
      <x:c r="A141" s="141" t="str">
        <x:v>PF-0140</x:v>
      </x:c>
      <x:c r="B141" s="141" t="str">
        <x:v>SG-23025082102</x:v>
      </x:c>
      <x:c r="C141" s="141" t="str">
        <x:v>Q3</x:v>
      </x:c>
      <x:c r="D141" s="141" t="str">
        <x:v>Engineering and Maintenance</x:v>
      </x:c>
      <x:c r="E141" s="141" t="n">
        <x:v>76</x:v>
      </x:c>
      <x:c r="F141" s="141" t="n">
        <x:v>78</x:v>
      </x:c>
      <x:c r="G141" s="141" t="n">
        <x:v>82</x:v>
      </x:c>
      <x:c r="H141" s="141" t="n">
        <x:v>77.9</x:v>
      </x:c>
      <x:c r="I141" s="141" t="str">
        <x:v>Meets</x:v>
      </x:c>
      <x:c r="J141" s="141" t="str">
        <x:v>Yes</x:v>
      </x:c>
      <x:c r="K141" s="141" t="str">
        <x:v>Yes</x:v>
      </x:c>
    </x:row>
    <x:row r="142">
      <x:c r="A142" s="141" t="str">
        <x:v>PF-0141</x:v>
      </x:c>
      <x:c r="B142" s="141" t="str">
        <x:v>SG-23025082102</x:v>
      </x:c>
      <x:c r="C142" s="141" t="str">
        <x:v>Q4</x:v>
      </x:c>
      <x:c r="D142" s="141" t="str">
        <x:v>Engineering and Maintenance</x:v>
      </x:c>
      <x:c r="E142" s="141" t="n">
        <x:v>88</x:v>
      </x:c>
      <x:c r="F142" s="141" t="n">
        <x:v>83</x:v>
      </x:c>
      <x:c r="G142" s="141" t="n">
        <x:v>92</x:v>
      </x:c>
      <x:c r="H142" s="141" t="n">
        <x:v>87.1</x:v>
      </x:c>
      <x:c r="I142" s="141" t="str">
        <x:v>Exceeds</x:v>
      </x:c>
      <x:c r="J142" s="141" t="str">
        <x:v>Yes</x:v>
      </x:c>
      <x:c r="K142" s="141" t="str">
        <x:v>No</x:v>
      </x:c>
    </x:row>
    <x:row r="143">
      <x:c r="A143" s="141" t="str">
        <x:v>PF-0142</x:v>
      </x:c>
      <x:c r="B143" s="141" t="str">
        <x:v>SG-23026031803</x:v>
      </x:c>
      <x:c r="C143" s="141" t="str">
        <x:v>Q1</x:v>
      </x:c>
      <x:c r="D143" s="141" t="str">
        <x:v>Engineering and Maintenance</x:v>
      </x:c>
      <x:c r="E143" s="141" t="n">
        <x:v>47</x:v>
      </x:c>
      <x:c r="F143" s="141" t="n">
        <x:v>57</x:v>
      </x:c>
      <x:c r="G143" s="141" t="n">
        <x:v>61</x:v>
      </x:c>
      <x:c r="H143" s="141" t="n">
        <x:v>53.3</x:v>
      </x:c>
      <x:c r="I143" s="141" t="str">
        <x:v>Needs Improvement</x:v>
      </x:c>
      <x:c r="J143" s="141" t="str">
        <x:v>Yes</x:v>
      </x:c>
      <x:c r="K143" s="141" t="str">
        <x:v>No</x:v>
      </x:c>
    </x:row>
    <x:row r="144">
      <x:c r="A144" s="141" t="str">
        <x:v>PF-0143</x:v>
      </x:c>
      <x:c r="B144" s="141" t="str">
        <x:v>SG-23026031803</x:v>
      </x:c>
      <x:c r="C144" s="141" t="str">
        <x:v>Q2</x:v>
      </x:c>
      <x:c r="D144" s="141" t="str">
        <x:v>Engineering and Maintenance</x:v>
      </x:c>
      <x:c r="E144" s="141" t="n">
        <x:v>66</x:v>
      </x:c>
      <x:c r="F144" s="141" t="n">
        <x:v>61</x:v>
      </x:c>
      <x:c r="G144" s="141" t="n">
        <x:v>62</x:v>
      </x:c>
      <x:c r="H144" s="141" t="n">
        <x:v>63.4</x:v>
      </x:c>
      <x:c r="I144" s="141" t="str">
        <x:v>Needs Improvement</x:v>
      </x:c>
      <x:c r="J144" s="141" t="str">
        <x:v>Yes</x:v>
      </x:c>
      <x:c r="K144" s="141" t="str">
        <x:v>No</x:v>
      </x:c>
    </x:row>
    <x:row r="145">
      <x:c r="A145" s="141" t="str">
        <x:v>PF-0144</x:v>
      </x:c>
      <x:c r="B145" s="141" t="str">
        <x:v>SG-23026031803</x:v>
      </x:c>
      <x:c r="C145" s="141" t="str">
        <x:v>Q3</x:v>
      </x:c>
      <x:c r="D145" s="141" t="str">
        <x:v>Engineering and Maintenance</x:v>
      </x:c>
      <x:c r="E145" s="141" t="n">
        <x:v>77</x:v>
      </x:c>
      <x:c r="F145" s="141" t="n">
        <x:v>59</x:v>
      </x:c>
      <x:c r="G145" s="141" t="n">
        <x:v>88</x:v>
      </x:c>
      <x:c r="H145" s="141" t="n">
        <x:v>72.9</x:v>
      </x:c>
      <x:c r="I145" s="141" t="str">
        <x:v>Meets</x:v>
      </x:c>
      <x:c r="J145" s="141" t="str">
        <x:v>Yes</x:v>
      </x:c>
      <x:c r="K145" s="141" t="str">
        <x:v>Yes</x:v>
      </x:c>
    </x:row>
    <x:row r="146">
      <x:c r="A146" s="141" t="str">
        <x:v>PF-0145</x:v>
      </x:c>
      <x:c r="B146" s="141" t="str">
        <x:v>SG-23026031803</x:v>
      </x:c>
      <x:c r="C146" s="141" t="str">
        <x:v>Q4</x:v>
      </x:c>
      <x:c r="D146" s="141" t="str">
        <x:v>Engineering and Maintenance</x:v>
      </x:c>
      <x:c r="E146" s="141" t="n">
        <x:v>77</x:v>
      </x:c>
      <x:c r="F146" s="141" t="n">
        <x:v>80</x:v>
      </x:c>
      <x:c r="G146" s="141" t="n">
        <x:v>89</x:v>
      </x:c>
      <x:c r="H146" s="141" t="n">
        <x:v>80.5</x:v>
      </x:c>
      <x:c r="I146" s="141" t="str">
        <x:v>Exceeds</x:v>
      </x:c>
      <x:c r="J146" s="141" t="str">
        <x:v>Yes</x:v>
      </x:c>
      <x:c r="K146" s="141" t="str">
        <x:v>No</x:v>
      </x:c>
    </x:row>
    <x:row r="147">
      <x:c r="A147" s="141" t="str">
        <x:v>PF-0146</x:v>
      </x:c>
      <x:c r="B147" s="141" t="str">
        <x:v>SG-23025112404</x:v>
      </x:c>
      <x:c r="C147" s="141" t="str">
        <x:v>Q1</x:v>
      </x:c>
      <x:c r="D147" s="141" t="str">
        <x:v>Engineering and Maintenance</x:v>
      </x:c>
      <x:c r="E147" s="141" t="n">
        <x:v>59</x:v>
      </x:c>
      <x:c r="F147" s="141" t="n">
        <x:v>67</x:v>
      </x:c>
      <x:c r="G147" s="141" t="n">
        <x:v>64</x:v>
      </x:c>
      <x:c r="H147" s="141" t="n">
        <x:v>62.8</x:v>
      </x:c>
      <x:c r="I147" s="141" t="str">
        <x:v>Needs Improvement</x:v>
      </x:c>
      <x:c r="J147" s="141" t="str">
        <x:v>No</x:v>
      </x:c>
      <x:c r="K147" s="141" t="str">
        <x:v>No</x:v>
      </x:c>
    </x:row>
    <x:row r="148">
      <x:c r="A148" s="141" t="str">
        <x:v>PF-0147</x:v>
      </x:c>
      <x:c r="B148" s="141" t="str">
        <x:v>SG-23025112404</x:v>
      </x:c>
      <x:c r="C148" s="141" t="str">
        <x:v>Q2</x:v>
      </x:c>
      <x:c r="D148" s="141" t="str">
        <x:v>Engineering and Maintenance</x:v>
      </x:c>
      <x:c r="E148" s="141" t="n">
        <x:v>65</x:v>
      </x:c>
      <x:c r="F148" s="141" t="n">
        <x:v>76</x:v>
      </x:c>
      <x:c r="G148" s="141" t="n">
        <x:v>82</x:v>
      </x:c>
      <x:c r="H148" s="141" t="n">
        <x:v>72.2</x:v>
      </x:c>
      <x:c r="I148" s="141" t="str">
        <x:v>Meets</x:v>
      </x:c>
      <x:c r="J148" s="141" t="str">
        <x:v>No</x:v>
      </x:c>
      <x:c r="K148" s="141" t="str">
        <x:v>No</x:v>
      </x:c>
    </x:row>
    <x:row r="149">
      <x:c r="A149" s="141" t="str">
        <x:v>PF-0148</x:v>
      </x:c>
      <x:c r="B149" s="141" t="str">
        <x:v>SG-23025112404</x:v>
      </x:c>
      <x:c r="C149" s="141" t="str">
        <x:v>Q3</x:v>
      </x:c>
      <x:c r="D149" s="141" t="str">
        <x:v>Engineering and Maintenance</x:v>
      </x:c>
      <x:c r="E149" s="141" t="n">
        <x:v>80</x:v>
      </x:c>
      <x:c r="F149" s="141" t="n">
        <x:v>89</x:v>
      </x:c>
      <x:c r="G149" s="141" t="n">
        <x:v>82</x:v>
      </x:c>
      <x:c r="H149" s="141" t="n">
        <x:v>83.6</x:v>
      </x:c>
      <x:c r="I149" s="141" t="str">
        <x:v>Exceeds</x:v>
      </x:c>
      <x:c r="J149" s="141" t="str">
        <x:v>Yes</x:v>
      </x:c>
      <x:c r="K149" s="141" t="str">
        <x:v>Yes</x:v>
      </x:c>
    </x:row>
    <x:row r="150">
      <x:c r="A150" s="141" t="str">
        <x:v>PF-0149</x:v>
      </x:c>
      <x:c r="B150" s="141" t="str">
        <x:v>SG-23025112404</x:v>
      </x:c>
      <x:c r="C150" s="141" t="str">
        <x:v>Q4</x:v>
      </x:c>
      <x:c r="D150" s="141" t="str">
        <x:v>Engineering and Maintenance</x:v>
      </x:c>
      <x:c r="E150" s="141" t="n">
        <x:v>100</x:v>
      </x:c>
      <x:c r="F150" s="141" t="n">
        <x:v>95</x:v>
      </x:c>
      <x:c r="G150" s="141" t="n">
        <x:v>91</x:v>
      </x:c>
      <x:c r="H150" s="141" t="n">
        <x:v>96.5</x:v>
      </x:c>
      <x:c r="I150" s="141" t="str">
        <x:v>Exceptional</x:v>
      </x:c>
      <x:c r="J150" s="141" t="str">
        <x:v>Yes</x:v>
      </x:c>
      <x:c r="K150" s="141" t="str">
        <x:v>No</x:v>
      </x:c>
    </x:row>
    <x:row r="151">
      <x:c r="A151" s="141" t="str">
        <x:v>PF-0150</x:v>
      </x:c>
      <x:c r="B151" s="141" t="str">
        <x:v>SG-23005062505</x:v>
      </x:c>
      <x:c r="C151" s="141" t="str">
        <x:v>Q1</x:v>
      </x:c>
      <x:c r="D151" s="141" t="str">
        <x:v>Engineering and Maintenance</x:v>
      </x:c>
      <x:c r="E151" s="141" t="n">
        <x:v>74</x:v>
      </x:c>
      <x:c r="F151" s="141" t="n">
        <x:v>54</x:v>
      </x:c>
      <x:c r="G151" s="141" t="n">
        <x:v>61</x:v>
      </x:c>
      <x:c r="H151" s="141" t="n">
        <x:v>64.4</x:v>
      </x:c>
      <x:c r="I151" s="141" t="str">
        <x:v>Needs Improvement</x:v>
      </x:c>
      <x:c r="J151" s="141" t="str">
        <x:v>No</x:v>
      </x:c>
      <x:c r="K151" s="141" t="str">
        <x:v>Yes</x:v>
      </x:c>
    </x:row>
    <x:row r="152">
      <x:c r="A152" s="141" t="str">
        <x:v>PF-0151</x:v>
      </x:c>
      <x:c r="B152" s="141" t="str">
        <x:v>SG-23005062505</x:v>
      </x:c>
      <x:c r="C152" s="141" t="str">
        <x:v>Q2</x:v>
      </x:c>
      <x:c r="D152" s="141" t="str">
        <x:v>Engineering and Maintenance</x:v>
      </x:c>
      <x:c r="E152" s="141" t="n">
        <x:v>71</x:v>
      </x:c>
      <x:c r="F152" s="141" t="n">
        <x:v>71</x:v>
      </x:c>
      <x:c r="G152" s="141" t="n">
        <x:v>68</x:v>
      </x:c>
      <x:c r="H152" s="141" t="n">
        <x:v>70.4</x:v>
      </x:c>
      <x:c r="I152" s="141" t="str">
        <x:v>Meets</x:v>
      </x:c>
      <x:c r="J152" s="141" t="str">
        <x:v>Yes</x:v>
      </x:c>
      <x:c r="K152" s="141" t="str">
        <x:v>No</x:v>
      </x:c>
    </x:row>
    <x:row r="153">
      <x:c r="A153" s="141" t="str">
        <x:v>PF-0152</x:v>
      </x:c>
      <x:c r="B153" s="141" t="str">
        <x:v>SG-23005062505</x:v>
      </x:c>
      <x:c r="C153" s="141" t="str">
        <x:v>Q3</x:v>
      </x:c>
      <x:c r="D153" s="141" t="str">
        <x:v>Engineering and Maintenance</x:v>
      </x:c>
      <x:c r="E153" s="141" t="n">
        <x:v>91</x:v>
      </x:c>
      <x:c r="F153" s="141" t="n">
        <x:v>79</x:v>
      </x:c>
      <x:c r="G153" s="141" t="n">
        <x:v>71</x:v>
      </x:c>
      <x:c r="H153" s="141" t="n">
        <x:v>82.8</x:v>
      </x:c>
      <x:c r="I153" s="141" t="str">
        <x:v>Exceeds</x:v>
      </x:c>
      <x:c r="J153" s="141" t="str">
        <x:v>Yes</x:v>
      </x:c>
      <x:c r="K153" s="141" t="str">
        <x:v>Yes</x:v>
      </x:c>
    </x:row>
    <x:row r="154">
      <x:c r="A154" s="141" t="str">
        <x:v>PF-0153</x:v>
      </x:c>
      <x:c r="B154" s="141" t="str">
        <x:v>SG-23005062505</x:v>
      </x:c>
      <x:c r="C154" s="141" t="str">
        <x:v>Q4</x:v>
      </x:c>
      <x:c r="D154" s="141" t="str">
        <x:v>Engineering and Maintenance</x:v>
      </x:c>
      <x:c r="E154" s="141" t="n">
        <x:v>94</x:v>
      </x:c>
      <x:c r="F154" s="141" t="n">
        <x:v>83</x:v>
      </x:c>
      <x:c r="G154" s="141" t="n">
        <x:v>86</x:v>
      </x:c>
      <x:c r="H154" s="141" t="n">
        <x:v>88.5</x:v>
      </x:c>
      <x:c r="I154" s="141" t="str">
        <x:v>Exceeds</x:v>
      </x:c>
      <x:c r="J154" s="141" t="str">
        <x:v>Yes</x:v>
      </x:c>
      <x:c r="K154" s="141" t="str">
        <x:v>No</x:v>
      </x:c>
    </x:row>
    <x:row r="155">
      <x:c r="A155" s="141" t="str">
        <x:v>PF-0154</x:v>
      </x:c>
      <x:c r="B155" s="141" t="str">
        <x:v>SG-23026102106</x:v>
      </x:c>
      <x:c r="C155" s="141" t="str">
        <x:v>Q1</x:v>
      </x:c>
      <x:c r="D155" s="141" t="str">
        <x:v>Engineering and Maintenance</x:v>
      </x:c>
      <x:c r="E155" s="141" t="n">
        <x:v>65</x:v>
      </x:c>
      <x:c r="F155" s="141" t="n">
        <x:v>62</x:v>
      </x:c>
      <x:c r="G155" s="141" t="n">
        <x:v>55</x:v>
      </x:c>
      <x:c r="H155" s="141" t="n">
        <x:v>62</x:v>
      </x:c>
      <x:c r="I155" s="141" t="str">
        <x:v>Needs Improvement</x:v>
      </x:c>
      <x:c r="J155" s="141" t="str">
        <x:v>Yes</x:v>
      </x:c>
      <x:c r="K155" s="141" t="str">
        <x:v>Yes</x:v>
      </x:c>
    </x:row>
    <x:row r="156">
      <x:c r="A156" s="141" t="str">
        <x:v>PF-0155</x:v>
      </x:c>
      <x:c r="B156" s="141" t="str">
        <x:v>SG-23026102106</x:v>
      </x:c>
      <x:c r="C156" s="141" t="str">
        <x:v>Q2</x:v>
      </x:c>
      <x:c r="D156" s="141" t="str">
        <x:v>Engineering and Maintenance</x:v>
      </x:c>
      <x:c r="E156" s="141" t="n">
        <x:v>70</x:v>
      </x:c>
      <x:c r="F156" s="141" t="n">
        <x:v>68</x:v>
      </x:c>
      <x:c r="G156" s="141" t="n">
        <x:v>83</x:v>
      </x:c>
      <x:c r="H156" s="141" t="n">
        <x:v>71.9</x:v>
      </x:c>
      <x:c r="I156" s="141" t="str">
        <x:v>Meets</x:v>
      </x:c>
      <x:c r="J156" s="141" t="str">
        <x:v>Yes</x:v>
      </x:c>
      <x:c r="K156" s="141" t="str">
        <x:v>Yes</x:v>
      </x:c>
    </x:row>
    <x:row r="157">
      <x:c r="A157" s="141" t="str">
        <x:v>PF-0156</x:v>
      </x:c>
      <x:c r="B157" s="141" t="str">
        <x:v>SG-23026102106</x:v>
      </x:c>
      <x:c r="C157" s="141" t="str">
        <x:v>Q3</x:v>
      </x:c>
      <x:c r="D157" s="141" t="str">
        <x:v>Engineering and Maintenance</x:v>
      </x:c>
      <x:c r="E157" s="141" t="n">
        <x:v>83</x:v>
      </x:c>
      <x:c r="F157" s="141" t="n">
        <x:v>86</x:v>
      </x:c>
      <x:c r="G157" s="141" t="n">
        <x:v>96</x:v>
      </x:c>
      <x:c r="H157" s="141" t="n">
        <x:v>86.7</x:v>
      </x:c>
      <x:c r="I157" s="141" t="str">
        <x:v>Exceeds</x:v>
      </x:c>
      <x:c r="J157" s="141" t="str">
        <x:v>Yes</x:v>
      </x:c>
      <x:c r="K157" s="141" t="str">
        <x:v>No</x:v>
      </x:c>
    </x:row>
    <x:row r="158">
      <x:c r="A158" s="141" t="str">
        <x:v>PF-0157</x:v>
      </x:c>
      <x:c r="B158" s="141" t="str">
        <x:v>SG-23026102106</x:v>
      </x:c>
      <x:c r="C158" s="141" t="str">
        <x:v>Q4</x:v>
      </x:c>
      <x:c r="D158" s="141" t="str">
        <x:v>Engineering and Maintenance</x:v>
      </x:c>
      <x:c r="E158" s="141" t="n">
        <x:v>85</x:v>
      </x:c>
      <x:c r="F158" s="141" t="n">
        <x:v>84</x:v>
      </x:c>
      <x:c r="G158" s="141" t="n">
        <x:v>95</x:v>
      </x:c>
      <x:c r="H158" s="141" t="n">
        <x:v>86.7</x:v>
      </x:c>
      <x:c r="I158" s="141" t="str">
        <x:v>Exceeds</x:v>
      </x:c>
      <x:c r="J158" s="141" t="str">
        <x:v>Yes</x:v>
      </x:c>
      <x:c r="K158" s="141" t="str">
        <x:v>No</x:v>
      </x:c>
    </x:row>
    <x:row r="159">
      <x:c r="A159" s="141" t="str">
        <x:v>PF-0158</x:v>
      </x:c>
      <x:c r="B159" s="141" t="str">
        <x:v>SG-23008032007</x:v>
      </x:c>
      <x:c r="C159" s="141" t="str">
        <x:v>Q1</x:v>
      </x:c>
      <x:c r="D159" s="141" t="str">
        <x:v>Engineering and Maintenance</x:v>
      </x:c>
      <x:c r="E159" s="141" t="n">
        <x:v>51</x:v>
      </x:c>
      <x:c r="F159" s="141" t="n">
        <x:v>70</x:v>
      </x:c>
      <x:c r="G159" s="141" t="n">
        <x:v>67</x:v>
      </x:c>
      <x:c r="H159" s="141" t="n">
        <x:v>60.9</x:v>
      </x:c>
      <x:c r="I159" s="141" t="str">
        <x:v>Needs Improvement</x:v>
      </x:c>
      <x:c r="J159" s="141" t="str">
        <x:v>Yes</x:v>
      </x:c>
      <x:c r="K159" s="141" t="str">
        <x:v>No</x:v>
      </x:c>
    </x:row>
    <x:row r="160">
      <x:c r="A160" s="141" t="str">
        <x:v>PF-0159</x:v>
      </x:c>
      <x:c r="B160" s="141" t="str">
        <x:v>SG-23008032007</x:v>
      </x:c>
      <x:c r="C160" s="141" t="str">
        <x:v>Q2</x:v>
      </x:c>
      <x:c r="D160" s="141" t="str">
        <x:v>Engineering and Maintenance</x:v>
      </x:c>
      <x:c r="E160" s="141" t="n">
        <x:v>65</x:v>
      </x:c>
      <x:c r="F160" s="141" t="n">
        <x:v>72</x:v>
      </x:c>
      <x:c r="G160" s="141" t="n">
        <x:v>63</x:v>
      </x:c>
      <x:c r="H160" s="141" t="n">
        <x:v>67.1</x:v>
      </x:c>
      <x:c r="I160" s="141" t="str">
        <x:v>Meets</x:v>
      </x:c>
      <x:c r="J160" s="141" t="str">
        <x:v>Yes</x:v>
      </x:c>
      <x:c r="K160" s="141" t="str">
        <x:v>No</x:v>
      </x:c>
    </x:row>
    <x:row r="161">
      <x:c r="A161" s="141" t="str">
        <x:v>PF-0160</x:v>
      </x:c>
      <x:c r="B161" s="141" t="str">
        <x:v>SG-23008032007</x:v>
      </x:c>
      <x:c r="C161" s="141" t="str">
        <x:v>Q3</x:v>
      </x:c>
      <x:c r="D161" s="141" t="str">
        <x:v>Engineering and Maintenance</x:v>
      </x:c>
      <x:c r="E161" s="141" t="n">
        <x:v>86</x:v>
      </x:c>
      <x:c r="F161" s="141" t="n">
        <x:v>93</x:v>
      </x:c>
      <x:c r="G161" s="141" t="n">
        <x:v>84</x:v>
      </x:c>
      <x:c r="H161" s="141" t="n">
        <x:v>88</x:v>
      </x:c>
      <x:c r="I161" s="141" t="str">
        <x:v>Exceeds</x:v>
      </x:c>
      <x:c r="J161" s="141" t="str">
        <x:v>Yes</x:v>
      </x:c>
      <x:c r="K161" s="141" t="str">
        <x:v>No</x:v>
      </x:c>
    </x:row>
    <x:row r="162">
      <x:c r="A162" s="141" t="str">
        <x:v>PF-0161</x:v>
      </x:c>
      <x:c r="B162" s="141" t="str">
        <x:v>SG-23008032007</x:v>
      </x:c>
      <x:c r="C162" s="141" t="str">
        <x:v>Q4</x:v>
      </x:c>
      <x:c r="D162" s="141" t="str">
        <x:v>Engineering and Maintenance</x:v>
      </x:c>
      <x:c r="E162" s="141" t="n">
        <x:v>93</x:v>
      </x:c>
      <x:c r="F162" s="141" t="n">
        <x:v>91</x:v>
      </x:c>
      <x:c r="G162" s="141" t="n">
        <x:v>90</x:v>
      </x:c>
      <x:c r="H162" s="141" t="n">
        <x:v>91.7</x:v>
      </x:c>
      <x:c r="I162" s="141" t="str">
        <x:v>Exceptional</x:v>
      </x:c>
      <x:c r="J162" s="141" t="str">
        <x:v>Yes</x:v>
      </x:c>
      <x:c r="K162" s="141" t="str">
        <x:v>Yes</x:v>
      </x:c>
    </x:row>
    <x:row r="163">
      <x:c r="A163" s="141" t="str">
        <x:v>PF-0162</x:v>
      </x:c>
      <x:c r="B163" s="141" t="str">
        <x:v>SG-23015102408</x:v>
      </x:c>
      <x:c r="C163" s="141" t="str">
        <x:v>Q1</x:v>
      </x:c>
      <x:c r="D163" s="141" t="str">
        <x:v>Engineering and Maintenance</x:v>
      </x:c>
      <x:c r="E163" s="141" t="n">
        <x:v>68</x:v>
      </x:c>
      <x:c r="F163" s="141" t="n">
        <x:v>62</x:v>
      </x:c>
      <x:c r="G163" s="141" t="n">
        <x:v>56</x:v>
      </x:c>
      <x:c r="H163" s="141" t="n">
        <x:v>63.5</x:v>
      </x:c>
      <x:c r="I163" s="141" t="str">
        <x:v>Needs Improvement</x:v>
      </x:c>
      <x:c r="J163" s="141" t="str">
        <x:v>Yes</x:v>
      </x:c>
      <x:c r="K163" s="141" t="str">
        <x:v>Yes</x:v>
      </x:c>
    </x:row>
    <x:row r="164">
      <x:c r="A164" s="141" t="str">
        <x:v>PF-0163</x:v>
      </x:c>
      <x:c r="B164" s="141" t="str">
        <x:v>SG-23015102408</x:v>
      </x:c>
      <x:c r="C164" s="141" t="str">
        <x:v>Q2</x:v>
      </x:c>
      <x:c r="D164" s="141" t="str">
        <x:v>Engineering and Maintenance</x:v>
      </x:c>
      <x:c r="E164" s="141" t="n">
        <x:v>86</x:v>
      </x:c>
      <x:c r="F164" s="141" t="n">
        <x:v>65</x:v>
      </x:c>
      <x:c r="G164" s="141" t="n">
        <x:v>74</x:v>
      </x:c>
      <x:c r="H164" s="141" t="n">
        <x:v>76.2</x:v>
      </x:c>
      <x:c r="I164" s="141" t="str">
        <x:v>Meets</x:v>
      </x:c>
      <x:c r="J164" s="141" t="str">
        <x:v>No</x:v>
      </x:c>
      <x:c r="K164" s="141" t="str">
        <x:v>No</x:v>
      </x:c>
    </x:row>
    <x:row r="165">
      <x:c r="A165" s="141" t="str">
        <x:v>PF-0164</x:v>
      </x:c>
      <x:c r="B165" s="141" t="str">
        <x:v>SG-23015102408</x:v>
      </x:c>
      <x:c r="C165" s="141" t="str">
        <x:v>Q3</x:v>
      </x:c>
      <x:c r="D165" s="141" t="str">
        <x:v>Engineering and Maintenance</x:v>
      </x:c>
      <x:c r="E165" s="141" t="n">
        <x:v>86</x:v>
      </x:c>
      <x:c r="F165" s="141" t="n">
        <x:v>89</x:v>
      </x:c>
      <x:c r="G165" s="141" t="n">
        <x:v>82</x:v>
      </x:c>
      <x:c r="H165" s="141" t="n">
        <x:v>86.2</x:v>
      </x:c>
      <x:c r="I165" s="141" t="str">
        <x:v>Exceeds</x:v>
      </x:c>
      <x:c r="J165" s="141" t="str">
        <x:v>Yes</x:v>
      </x:c>
      <x:c r="K165" s="141" t="str">
        <x:v>No</x:v>
      </x:c>
    </x:row>
    <x:row r="166">
      <x:c r="A166" s="141" t="str">
        <x:v>PF-0165</x:v>
      </x:c>
      <x:c r="B166" s="141" t="str">
        <x:v>SG-23015102408</x:v>
      </x:c>
      <x:c r="C166" s="141" t="str">
        <x:v>Q4</x:v>
      </x:c>
      <x:c r="D166" s="141" t="str">
        <x:v>Engineering and Maintenance</x:v>
      </x:c>
      <x:c r="E166" s="141" t="n">
        <x:v>99</x:v>
      </x:c>
      <x:c r="F166" s="141" t="n">
        <x:v>89</x:v>
      </x:c>
      <x:c r="G166" s="141" t="n">
        <x:v>87</x:v>
      </x:c>
      <x:c r="H166" s="141" t="n">
        <x:v>93.1</x:v>
      </x:c>
      <x:c r="I166" s="141" t="str">
        <x:v>Exceptional</x:v>
      </x:c>
      <x:c r="J166" s="141" t="str">
        <x:v>Yes</x:v>
      </x:c>
      <x:c r="K166" s="141" t="str">
        <x:v>No</x:v>
      </x:c>
    </x:row>
    <x:row r="167">
      <x:c r="A167" s="141" t="str">
        <x:v>PF-0166</x:v>
      </x:c>
      <x:c r="B167" s="141" t="str">
        <x:v>SG-24021022401</x:v>
      </x:c>
      <x:c r="C167" s="141" t="str">
        <x:v>Q1</x:v>
      </x:c>
      <x:c r="D167" s="141" t="str">
        <x:v>Research and Development</x:v>
      </x:c>
      <x:c r="E167" s="141" t="n">
        <x:v>78</x:v>
      </x:c>
      <x:c r="F167" s="141" t="n">
        <x:v>71</x:v>
      </x:c>
      <x:c r="G167" s="141" t="n">
        <x:v>65</x:v>
      </x:c>
      <x:c r="H167" s="141" t="n">
        <x:v>73</x:v>
      </x:c>
      <x:c r="I167" s="141" t="str">
        <x:v>Meets</x:v>
      </x:c>
      <x:c r="J167" s="141" t="str">
        <x:v>No</x:v>
      </x:c>
      <x:c r="K167" s="141" t="str">
        <x:v>Yes</x:v>
      </x:c>
    </x:row>
    <x:row r="168">
      <x:c r="A168" s="141" t="str">
        <x:v>PF-0167</x:v>
      </x:c>
      <x:c r="B168" s="141" t="str">
        <x:v>SG-24021022401</x:v>
      </x:c>
      <x:c r="C168" s="141" t="str">
        <x:v>Q2</x:v>
      </x:c>
      <x:c r="D168" s="141" t="str">
        <x:v>Research and Development</x:v>
      </x:c>
      <x:c r="E168" s="141" t="n">
        <x:v>72</x:v>
      </x:c>
      <x:c r="F168" s="141" t="n">
        <x:v>67</x:v>
      </x:c>
      <x:c r="G168" s="141" t="n">
        <x:v>67</x:v>
      </x:c>
      <x:c r="H168" s="141" t="n">
        <x:v>69.2</x:v>
      </x:c>
      <x:c r="I168" s="141" t="str">
        <x:v>Meets</x:v>
      </x:c>
      <x:c r="J168" s="141" t="str">
        <x:v>Yes</x:v>
      </x:c>
      <x:c r="K168" s="141" t="str">
        <x:v>Yes</x:v>
      </x:c>
    </x:row>
    <x:row r="169">
      <x:c r="A169" s="141" t="str">
        <x:v>PF-0168</x:v>
      </x:c>
      <x:c r="B169" s="141" t="str">
        <x:v>SG-24021022401</x:v>
      </x:c>
      <x:c r="C169" s="141" t="str">
        <x:v>Q3</x:v>
      </x:c>
      <x:c r="D169" s="141" t="str">
        <x:v>Research and Development</x:v>
      </x:c>
      <x:c r="E169" s="141" t="n">
        <x:v>88</x:v>
      </x:c>
      <x:c r="F169" s="141" t="n">
        <x:v>93</x:v>
      </x:c>
      <x:c r="G169" s="141" t="n">
        <x:v>82</x:v>
      </x:c>
      <x:c r="H169" s="141" t="n">
        <x:v>88.6</x:v>
      </x:c>
      <x:c r="I169" s="141" t="str">
        <x:v>Exceeds</x:v>
      </x:c>
      <x:c r="J169" s="141" t="str">
        <x:v>No</x:v>
      </x:c>
      <x:c r="K169" s="141" t="str">
        <x:v>Yes</x:v>
      </x:c>
    </x:row>
    <x:row r="170">
      <x:c r="A170" s="141" t="str">
        <x:v>PF-0169</x:v>
      </x:c>
      <x:c r="B170" s="141" t="str">
        <x:v>SG-24021022401</x:v>
      </x:c>
      <x:c r="C170" s="141" t="str">
        <x:v>Q4</x:v>
      </x:c>
      <x:c r="D170" s="141" t="str">
        <x:v>Research and Development</x:v>
      </x:c>
      <x:c r="E170" s="141" t="n">
        <x:v>81</x:v>
      </x:c>
      <x:c r="F170" s="141" t="n">
        <x:v>100</x:v>
      </x:c>
      <x:c r="G170" s="141" t="n">
        <x:v>85</x:v>
      </x:c>
      <x:c r="H170" s="141" t="n">
        <x:v>88.5</x:v>
      </x:c>
      <x:c r="I170" s="141" t="str">
        <x:v>Exceeds</x:v>
      </x:c>
      <x:c r="J170" s="141" t="str">
        <x:v>Yes</x:v>
      </x:c>
      <x:c r="K170" s="141" t="str">
        <x:v>No</x:v>
      </x:c>
    </x:row>
    <x:row r="171">
      <x:c r="A171" s="141" t="str">
        <x:v>PF-0170</x:v>
      </x:c>
      <x:c r="B171" s="141" t="str">
        <x:v>SG-24010072202</x:v>
      </x:c>
      <x:c r="C171" s="141" t="str">
        <x:v>Q1</x:v>
      </x:c>
      <x:c r="D171" s="141" t="str">
        <x:v>Research and Development</x:v>
      </x:c>
      <x:c r="E171" s="141" t="n">
        <x:v>54</x:v>
      </x:c>
      <x:c r="F171" s="141" t="n">
        <x:v>57</x:v>
      </x:c>
      <x:c r="G171" s="141" t="n">
        <x:v>56</x:v>
      </x:c>
      <x:c r="H171" s="141" t="n">
        <x:v>55.5</x:v>
      </x:c>
      <x:c r="I171" s="141" t="str">
        <x:v>Needs Improvement</x:v>
      </x:c>
      <x:c r="J171" s="141" t="str">
        <x:v>Yes</x:v>
      </x:c>
      <x:c r="K171" s="141" t="str">
        <x:v>No</x:v>
      </x:c>
    </x:row>
    <x:row r="172">
      <x:c r="A172" s="141" t="str">
        <x:v>PF-0171</x:v>
      </x:c>
      <x:c r="B172" s="141" t="str">
        <x:v>SG-24010072202</x:v>
      </x:c>
      <x:c r="C172" s="141" t="str">
        <x:v>Q2</x:v>
      </x:c>
      <x:c r="D172" s="141" t="str">
        <x:v>Research and Development</x:v>
      </x:c>
      <x:c r="E172" s="141" t="n">
        <x:v>55</x:v>
      </x:c>
      <x:c r="F172" s="141" t="n">
        <x:v>75</x:v>
      </x:c>
      <x:c r="G172" s="141" t="n">
        <x:v>66</x:v>
      </x:c>
      <x:c r="H172" s="141" t="n">
        <x:v>64.2</x:v>
      </x:c>
      <x:c r="I172" s="141" t="str">
        <x:v>Needs Improvement</x:v>
      </x:c>
      <x:c r="J172" s="141" t="str">
        <x:v>Yes</x:v>
      </x:c>
      <x:c r="K172" s="141" t="str">
        <x:v>No</x:v>
      </x:c>
    </x:row>
    <x:row r="173">
      <x:c r="A173" s="141" t="str">
        <x:v>PF-0172</x:v>
      </x:c>
      <x:c r="B173" s="141" t="str">
        <x:v>SG-24010072202</x:v>
      </x:c>
      <x:c r="C173" s="141" t="str">
        <x:v>Q3</x:v>
      </x:c>
      <x:c r="D173" s="141" t="str">
        <x:v>Research and Development</x:v>
      </x:c>
      <x:c r="E173" s="141" t="n">
        <x:v>81</x:v>
      </x:c>
      <x:c r="F173" s="141" t="n">
        <x:v>86</x:v>
      </x:c>
      <x:c r="G173" s="141" t="n">
        <x:v>83</x:v>
      </x:c>
      <x:c r="H173" s="141" t="n">
        <x:v>83.2</x:v>
      </x:c>
      <x:c r="I173" s="141" t="str">
        <x:v>Exceeds</x:v>
      </x:c>
      <x:c r="J173" s="141" t="str">
        <x:v>Yes</x:v>
      </x:c>
      <x:c r="K173" s="141" t="str">
        <x:v>No</x:v>
      </x:c>
    </x:row>
    <x:row r="174">
      <x:c r="A174" s="141" t="str">
        <x:v>PF-0173</x:v>
      </x:c>
      <x:c r="B174" s="141" t="str">
        <x:v>SG-24010072202</x:v>
      </x:c>
      <x:c r="C174" s="141" t="str">
        <x:v>Q4</x:v>
      </x:c>
      <x:c r="D174" s="141" t="str">
        <x:v>Research and Development</x:v>
      </x:c>
      <x:c r="E174" s="141" t="n">
        <x:v>70</x:v>
      </x:c>
      <x:c r="F174" s="141" t="n">
        <x:v>83</x:v>
      </x:c>
      <x:c r="G174" s="141" t="n">
        <x:v>90</x:v>
      </x:c>
      <x:c r="H174" s="141" t="n">
        <x:v>78.5</x:v>
      </x:c>
      <x:c r="I174" s="141" t="str">
        <x:v>Meets</x:v>
      </x:c>
      <x:c r="J174" s="141" t="str">
        <x:v>Yes</x:v>
      </x:c>
      <x:c r="K174" s="141" t="str">
        <x:v>Yes</x:v>
      </x:c>
    </x:row>
    <x:row r="175">
      <x:c r="A175" s="141" t="str">
        <x:v>PF-0174</x:v>
      </x:c>
      <x:c r="B175" s="141" t="str">
        <x:v>SG-24020071903</x:v>
      </x:c>
      <x:c r="C175" s="141" t="str">
        <x:v>Q1</x:v>
      </x:c>
      <x:c r="D175" s="141" t="str">
        <x:v>Research and Development</x:v>
      </x:c>
      <x:c r="E175" s="141" t="n">
        <x:v>56</x:v>
      </x:c>
      <x:c r="F175" s="141" t="n">
        <x:v>62</x:v>
      </x:c>
      <x:c r="G175" s="141" t="n">
        <x:v>61</x:v>
      </x:c>
      <x:c r="H175" s="141" t="n">
        <x:v>59.1</x:v>
      </x:c>
      <x:c r="I175" s="141" t="str">
        <x:v>Needs Improvement</x:v>
      </x:c>
      <x:c r="J175" s="141" t="str">
        <x:v>Yes</x:v>
      </x:c>
      <x:c r="K175" s="141" t="str">
        <x:v>No</x:v>
      </x:c>
    </x:row>
    <x:row r="176">
      <x:c r="A176" s="141" t="str">
        <x:v>PF-0175</x:v>
      </x:c>
      <x:c r="B176" s="141" t="str">
        <x:v>SG-24020071903</x:v>
      </x:c>
      <x:c r="C176" s="141" t="str">
        <x:v>Q2</x:v>
      </x:c>
      <x:c r="D176" s="141" t="str">
        <x:v>Research and Development</x:v>
      </x:c>
      <x:c r="E176" s="141" t="n">
        <x:v>73</x:v>
      </x:c>
      <x:c r="F176" s="141" t="n">
        <x:v>83</x:v>
      </x:c>
      <x:c r="G176" s="141" t="n">
        <x:v>84</x:v>
      </x:c>
      <x:c r="H176" s="141" t="n">
        <x:v>78.7</x:v>
      </x:c>
      <x:c r="I176" s="141" t="str">
        <x:v>Meets</x:v>
      </x:c>
      <x:c r="J176" s="141" t="str">
        <x:v>Yes</x:v>
      </x:c>
      <x:c r="K176" s="141" t="str">
        <x:v>No</x:v>
      </x:c>
    </x:row>
    <x:row r="177">
      <x:c r="A177" s="141" t="str">
        <x:v>PF-0176</x:v>
      </x:c>
      <x:c r="B177" s="141" t="str">
        <x:v>SG-24020071903</x:v>
      </x:c>
      <x:c r="C177" s="141" t="str">
        <x:v>Q3</x:v>
      </x:c>
      <x:c r="D177" s="141" t="str">
        <x:v>Research and Development</x:v>
      </x:c>
      <x:c r="E177" s="141" t="n">
        <x:v>88</x:v>
      </x:c>
      <x:c r="F177" s="141" t="n">
        <x:v>76</x:v>
      </x:c>
      <x:c r="G177" s="141" t="n">
        <x:v>64</x:v>
      </x:c>
      <x:c r="H177" s="141" t="n">
        <x:v>79</x:v>
      </x:c>
      <x:c r="I177" s="141" t="str">
        <x:v>Meets</x:v>
      </x:c>
      <x:c r="J177" s="141" t="str">
        <x:v>Yes</x:v>
      </x:c>
      <x:c r="K177" s="141" t="str">
        <x:v>Yes</x:v>
      </x:c>
    </x:row>
    <x:row r="178">
      <x:c r="A178" s="141" t="str">
        <x:v>PF-0177</x:v>
      </x:c>
      <x:c r="B178" s="141" t="str">
        <x:v>SG-24020071903</x:v>
      </x:c>
      <x:c r="C178" s="141" t="str">
        <x:v>Q4</x:v>
      </x:c>
      <x:c r="D178" s="141" t="str">
        <x:v>Research and Development</x:v>
      </x:c>
      <x:c r="E178" s="141" t="n">
        <x:v>100</x:v>
      </x:c>
      <x:c r="F178" s="141" t="n">
        <x:v>81</x:v>
      </x:c>
      <x:c r="G178" s="141" t="n">
        <x:v>83</x:v>
      </x:c>
      <x:c r="H178" s="141" t="n">
        <x:v>89.9</x:v>
      </x:c>
      <x:c r="I178" s="141" t="str">
        <x:v>Exceeds</x:v>
      </x:c>
      <x:c r="J178" s="141" t="str">
        <x:v>Yes</x:v>
      </x:c>
      <x:c r="K178" s="141" t="str">
        <x:v>No</x:v>
      </x:c>
    </x:row>
    <x:row r="179">
      <x:c r="A179" s="141" t="str">
        <x:v>PF-0178</x:v>
      </x:c>
      <x:c r="B179" s="141" t="str">
        <x:v>SG-24030112504</x:v>
      </x:c>
      <x:c r="C179" s="141" t="str">
        <x:v>Q1</x:v>
      </x:c>
      <x:c r="D179" s="141" t="str">
        <x:v>Research and Development</x:v>
      </x:c>
      <x:c r="E179" s="141" t="n">
        <x:v>59</x:v>
      </x:c>
      <x:c r="F179" s="141" t="n">
        <x:v>48</x:v>
      </x:c>
      <x:c r="G179" s="141" t="n">
        <x:v>63</x:v>
      </x:c>
      <x:c r="H179" s="141" t="n">
        <x:v>55.9</x:v>
      </x:c>
      <x:c r="I179" s="141" t="str">
        <x:v>Needs Improvement</x:v>
      </x:c>
      <x:c r="J179" s="141" t="str">
        <x:v>Yes</x:v>
      </x:c>
      <x:c r="K179" s="141" t="str">
        <x:v>Yes</x:v>
      </x:c>
    </x:row>
    <x:row r="180">
      <x:c r="A180" s="141" t="str">
        <x:v>PF-0179</x:v>
      </x:c>
      <x:c r="B180" s="141" t="str">
        <x:v>SG-24030112504</x:v>
      </x:c>
      <x:c r="C180" s="141" t="str">
        <x:v>Q2</x:v>
      </x:c>
      <x:c r="D180" s="141" t="str">
        <x:v>Research and Development</x:v>
      </x:c>
      <x:c r="E180" s="141" t="n">
        <x:v>62</x:v>
      </x:c>
      <x:c r="F180" s="141" t="n">
        <x:v>92</x:v>
      </x:c>
      <x:c r="G180" s="141" t="n">
        <x:v>71</x:v>
      </x:c>
      <x:c r="H180" s="141" t="n">
        <x:v>74.3</x:v>
      </x:c>
      <x:c r="I180" s="141" t="str">
        <x:v>Meets</x:v>
      </x:c>
      <x:c r="J180" s="141" t="str">
        <x:v>Yes</x:v>
      </x:c>
      <x:c r="K180" s="141" t="str">
        <x:v>Yes</x:v>
      </x:c>
    </x:row>
    <x:row r="181">
      <x:c r="A181" s="141" t="str">
        <x:v>PF-0180</x:v>
      </x:c>
      <x:c r="B181" s="141" t="str">
        <x:v>SG-24030112504</x:v>
      </x:c>
      <x:c r="C181" s="141" t="str">
        <x:v>Q3</x:v>
      </x:c>
      <x:c r="D181" s="141" t="str">
        <x:v>Research and Development</x:v>
      </x:c>
      <x:c r="E181" s="141" t="n">
        <x:v>89</x:v>
      </x:c>
      <x:c r="F181" s="141" t="n">
        <x:v>81</x:v>
      </x:c>
      <x:c r="G181" s="141" t="n">
        <x:v>68</x:v>
      </x:c>
      <x:c r="H181" s="141" t="n">
        <x:v>82</x:v>
      </x:c>
      <x:c r="I181" s="141" t="str">
        <x:v>Exceeds</x:v>
      </x:c>
      <x:c r="J181" s="141" t="str">
        <x:v>Yes</x:v>
      </x:c>
      <x:c r="K181" s="141" t="str">
        <x:v>No</x:v>
      </x:c>
    </x:row>
    <x:row r="182">
      <x:c r="A182" s="141" t="str">
        <x:v>PF-0181</x:v>
      </x:c>
      <x:c r="B182" s="141" t="str">
        <x:v>SG-24030112504</x:v>
      </x:c>
      <x:c r="C182" s="141" t="str">
        <x:v>Q4</x:v>
      </x:c>
      <x:c r="D182" s="141" t="str">
        <x:v>Research and Development</x:v>
      </x:c>
      <x:c r="E182" s="141" t="n">
        <x:v>89</x:v>
      </x:c>
      <x:c r="F182" s="141" t="n">
        <x:v>97</x:v>
      </x:c>
      <x:c r="G182" s="141" t="n">
        <x:v>86</x:v>
      </x:c>
      <x:c r="H182" s="141" t="n">
        <x:v>91.2</x:v>
      </x:c>
      <x:c r="I182" s="141" t="str">
        <x:v>Exceptional</x:v>
      </x:c>
      <x:c r="J182" s="141" t="str">
        <x:v>Yes</x:v>
      </x:c>
      <x:c r="K182" s="141" t="str">
        <x:v>Yes</x:v>
      </x:c>
    </x:row>
    <x:row r="183">
      <x:c r="A183" s="141" t="str">
        <x:v>PF-0182</x:v>
      </x:c>
      <x:c r="B183" s="141" t="str">
        <x:v>SG-24021032005</x:v>
      </x:c>
      <x:c r="C183" s="141" t="str">
        <x:v>Q1</x:v>
      </x:c>
      <x:c r="D183" s="141" t="str">
        <x:v>Research and Development</x:v>
      </x:c>
      <x:c r="E183" s="141" t="n">
        <x:v>55</x:v>
      </x:c>
      <x:c r="F183" s="141" t="n">
        <x:v>63</x:v>
      </x:c>
      <x:c r="G183" s="141" t="n">
        <x:v>58</x:v>
      </x:c>
      <x:c r="H183" s="141" t="n">
        <x:v>58.4</x:v>
      </x:c>
      <x:c r="I183" s="141" t="str">
        <x:v>Needs Improvement</x:v>
      </x:c>
      <x:c r="J183" s="141" t="str">
        <x:v>Yes</x:v>
      </x:c>
      <x:c r="K183" s="141" t="str">
        <x:v>Yes</x:v>
      </x:c>
    </x:row>
    <x:row r="184">
      <x:c r="A184" s="141" t="str">
        <x:v>PF-0183</x:v>
      </x:c>
      <x:c r="B184" s="141" t="str">
        <x:v>SG-24021032005</x:v>
      </x:c>
      <x:c r="C184" s="141" t="str">
        <x:v>Q2</x:v>
      </x:c>
      <x:c r="D184" s="141" t="str">
        <x:v>Research and Development</x:v>
      </x:c>
      <x:c r="E184" s="141" t="n">
        <x:v>71</x:v>
      </x:c>
      <x:c r="F184" s="141" t="n">
        <x:v>68</x:v>
      </x:c>
      <x:c r="G184" s="141" t="n">
        <x:v>69</x:v>
      </x:c>
      <x:c r="H184" s="141" t="n">
        <x:v>69.5</x:v>
      </x:c>
      <x:c r="I184" s="141" t="str">
        <x:v>Meets</x:v>
      </x:c>
      <x:c r="J184" s="141" t="str">
        <x:v>Yes</x:v>
      </x:c>
      <x:c r="K184" s="141" t="str">
        <x:v>No</x:v>
      </x:c>
    </x:row>
    <x:row r="185">
      <x:c r="A185" s="141" t="str">
        <x:v>PF-0184</x:v>
      </x:c>
      <x:c r="B185" s="141" t="str">
        <x:v>SG-24021032005</x:v>
      </x:c>
      <x:c r="C185" s="141" t="str">
        <x:v>Q3</x:v>
      </x:c>
      <x:c r="D185" s="141" t="str">
        <x:v>Research and Development</x:v>
      </x:c>
      <x:c r="E185" s="141" t="n">
        <x:v>95</x:v>
      </x:c>
      <x:c r="F185" s="141" t="n">
        <x:v>85</x:v>
      </x:c>
      <x:c r="G185" s="141" t="n">
        <x:v>96</x:v>
      </x:c>
      <x:c r="H185" s="141" t="n">
        <x:v>91.7</x:v>
      </x:c>
      <x:c r="I185" s="141" t="str">
        <x:v>Exceptional</x:v>
      </x:c>
      <x:c r="J185" s="141" t="str">
        <x:v>Yes</x:v>
      </x:c>
      <x:c r="K185" s="141" t="str">
        <x:v>No</x:v>
      </x:c>
    </x:row>
    <x:row r="186">
      <x:c r="A186" s="141" t="str">
        <x:v>PF-0185</x:v>
      </x:c>
      <x:c r="B186" s="141" t="str">
        <x:v>SG-24021032005</x:v>
      </x:c>
      <x:c r="C186" s="141" t="str">
        <x:v>Q4</x:v>
      </x:c>
      <x:c r="D186" s="141" t="str">
        <x:v>Research and Development</x:v>
      </x:c>
      <x:c r="E186" s="141" t="n">
        <x:v>94</x:v>
      </x:c>
      <x:c r="F186" s="141" t="n">
        <x:v>87</x:v>
      </x:c>
      <x:c r="G186" s="141" t="n">
        <x:v>100</x:v>
      </x:c>
      <x:c r="H186" s="141" t="n">
        <x:v>92.8</x:v>
      </x:c>
      <x:c r="I186" s="141" t="str">
        <x:v>Exceptional</x:v>
      </x:c>
      <x:c r="J186" s="141" t="str">
        <x:v>Yes</x:v>
      </x:c>
      <x:c r="K186" s="141" t="str">
        <x:v>Yes</x:v>
      </x:c>
    </x:row>
    <x:row r="187">
      <x:c r="A187" s="141" t="str">
        <x:v>PF-0186</x:v>
      </x:c>
      <x:c r="B187" s="141" t="str">
        <x:v>SG-24020022006</x:v>
      </x:c>
      <x:c r="C187" s="141" t="str">
        <x:v>Q1</x:v>
      </x:c>
      <x:c r="D187" s="141" t="str">
        <x:v>Research and Development</x:v>
      </x:c>
      <x:c r="E187" s="141" t="n">
        <x:v>64</x:v>
      </x:c>
      <x:c r="F187" s="141" t="n">
        <x:v>69</x:v>
      </x:c>
      <x:c r="G187" s="141" t="n">
        <x:v>67</x:v>
      </x:c>
      <x:c r="H187" s="141" t="n">
        <x:v>66.4</x:v>
      </x:c>
      <x:c r="I187" s="141" t="str">
        <x:v>Meets</x:v>
      </x:c>
      <x:c r="J187" s="141" t="str">
        <x:v>Yes</x:v>
      </x:c>
      <x:c r="K187" s="141" t="str">
        <x:v>Yes</x:v>
      </x:c>
    </x:row>
    <x:row r="188">
      <x:c r="A188" s="141" t="str">
        <x:v>PF-0187</x:v>
      </x:c>
      <x:c r="B188" s="141" t="str">
        <x:v>SG-24020022006</x:v>
      </x:c>
      <x:c r="C188" s="141" t="str">
        <x:v>Q2</x:v>
      </x:c>
      <x:c r="D188" s="141" t="str">
        <x:v>Research and Development</x:v>
      </x:c>
      <x:c r="E188" s="141" t="n">
        <x:v>74</x:v>
      </x:c>
      <x:c r="F188" s="141" t="n">
        <x:v>72</x:v>
      </x:c>
      <x:c r="G188" s="141" t="n">
        <x:v>68</x:v>
      </x:c>
      <x:c r="H188" s="141" t="n">
        <x:v>72.1</x:v>
      </x:c>
      <x:c r="I188" s="141" t="str">
        <x:v>Meets</x:v>
      </x:c>
      <x:c r="J188" s="141" t="str">
        <x:v>Yes</x:v>
      </x:c>
      <x:c r="K188" s="141" t="str">
        <x:v>Yes</x:v>
      </x:c>
    </x:row>
    <x:row r="189">
      <x:c r="A189" s="141" t="str">
        <x:v>PF-0188</x:v>
      </x:c>
      <x:c r="B189" s="141" t="str">
        <x:v>SG-24020022006</x:v>
      </x:c>
      <x:c r="C189" s="141" t="str">
        <x:v>Q3</x:v>
      </x:c>
      <x:c r="D189" s="141" t="str">
        <x:v>Research and Development</x:v>
      </x:c>
      <x:c r="E189" s="141" t="n">
        <x:v>82</x:v>
      </x:c>
      <x:c r="F189" s="141" t="n">
        <x:v>75</x:v>
      </x:c>
      <x:c r="G189" s="141" t="n">
        <x:v>80</x:v>
      </x:c>
      <x:c r="H189" s="141" t="n">
        <x:v>79.2</x:v>
      </x:c>
      <x:c r="I189" s="141" t="str">
        <x:v>Meets</x:v>
      </x:c>
      <x:c r="J189" s="141" t="str">
        <x:v>Yes</x:v>
      </x:c>
      <x:c r="K189" s="141" t="str">
        <x:v>Yes</x:v>
      </x:c>
    </x:row>
    <x:row r="190">
      <x:c r="A190" s="141" t="str">
        <x:v>PF-0189</x:v>
      </x:c>
      <x:c r="B190" s="141" t="str">
        <x:v>SG-24020022006</x:v>
      </x:c>
      <x:c r="C190" s="141" t="str">
        <x:v>Q4</x:v>
      </x:c>
      <x:c r="D190" s="141" t="str">
        <x:v>Research and Development</x:v>
      </x:c>
      <x:c r="E190" s="141" t="n">
        <x:v>86</x:v>
      </x:c>
      <x:c r="F190" s="141" t="n">
        <x:v>89</x:v>
      </x:c>
      <x:c r="G190" s="141" t="n">
        <x:v>76</x:v>
      </x:c>
      <x:c r="H190" s="141" t="n">
        <x:v>85</x:v>
      </x:c>
      <x:c r="I190" s="141" t="str">
        <x:v>Exceeds</x:v>
      </x:c>
      <x:c r="J190" s="141" t="str">
        <x:v>Yes</x:v>
      </x:c>
      <x:c r="K190" s="141" t="str">
        <x:v>No</x:v>
      </x:c>
    </x:row>
    <x:row r="191">
      <x:c r="A191" s="141" t="str">
        <x:v>PF-0190</x:v>
      </x:c>
      <x:c r="B191" s="141" t="str">
        <x:v>SG-24002041907</x:v>
      </x:c>
      <x:c r="C191" s="141" t="str">
        <x:v>Q1</x:v>
      </x:c>
      <x:c r="D191" s="141" t="str">
        <x:v>Research and Development</x:v>
      </x:c>
      <x:c r="E191" s="141" t="n">
        <x:v>38</x:v>
      </x:c>
      <x:c r="F191" s="141" t="n">
        <x:v>53</x:v>
      </x:c>
      <x:c r="G191" s="141" t="n">
        <x:v>63</x:v>
      </x:c>
      <x:c r="H191" s="141" t="n">
        <x:v>48.2</x:v>
      </x:c>
      <x:c r="I191" s="141" t="str">
        <x:v>Needs Improvement</x:v>
      </x:c>
      <x:c r="J191" s="141" t="str">
        <x:v>Yes</x:v>
      </x:c>
      <x:c r="K191" s="141" t="str">
        <x:v>No</x:v>
      </x:c>
    </x:row>
    <x:row r="192">
      <x:c r="A192" s="141" t="str">
        <x:v>PF-0191</x:v>
      </x:c>
      <x:c r="B192" s="141" t="str">
        <x:v>SG-24002041907</x:v>
      </x:c>
      <x:c r="C192" s="141" t="str">
        <x:v>Q2</x:v>
      </x:c>
      <x:c r="D192" s="141" t="str">
        <x:v>Research and Development</x:v>
      </x:c>
      <x:c r="E192" s="141" t="n">
        <x:v>44</x:v>
      </x:c>
      <x:c r="F192" s="141" t="n">
        <x:v>78</x:v>
      </x:c>
      <x:c r="G192" s="141" t="n">
        <x:v>66</x:v>
      </x:c>
      <x:c r="H192" s="141" t="n">
        <x:v>60.3</x:v>
      </x:c>
      <x:c r="I192" s="141" t="str">
        <x:v>Needs Improvement</x:v>
      </x:c>
      <x:c r="J192" s="141" t="str">
        <x:v>No</x:v>
      </x:c>
      <x:c r="K192" s="141" t="str">
        <x:v>No</x:v>
      </x:c>
    </x:row>
    <x:row r="193">
      <x:c r="A193" s="141" t="str">
        <x:v>PF-0192</x:v>
      </x:c>
      <x:c r="B193" s="141" t="str">
        <x:v>SG-24002041907</x:v>
      </x:c>
      <x:c r="C193" s="141" t="str">
        <x:v>Q3</x:v>
      </x:c>
      <x:c r="D193" s="141" t="str">
        <x:v>Research and Development</x:v>
      </x:c>
      <x:c r="E193" s="141" t="n">
        <x:v>64</x:v>
      </x:c>
      <x:c r="F193" s="141" t="n">
        <x:v>79</x:v>
      </x:c>
      <x:c r="G193" s="141" t="n">
        <x:v>88</x:v>
      </x:c>
      <x:c r="H193" s="141" t="n">
        <x:v>74.1</x:v>
      </x:c>
      <x:c r="I193" s="141" t="str">
        <x:v>Meets</x:v>
      </x:c>
      <x:c r="J193" s="141" t="str">
        <x:v>Yes</x:v>
      </x:c>
      <x:c r="K193" s="141" t="str">
        <x:v>Yes</x:v>
      </x:c>
    </x:row>
    <x:row r="194">
      <x:c r="A194" s="141" t="str">
        <x:v>PF-0193</x:v>
      </x:c>
      <x:c r="B194" s="141" t="str">
        <x:v>SG-24002041907</x:v>
      </x:c>
      <x:c r="C194" s="141" t="str">
        <x:v>Q4</x:v>
      </x:c>
      <x:c r="D194" s="141" t="str">
        <x:v>Research and Development</x:v>
      </x:c>
      <x:c r="E194" s="141" t="n">
        <x:v>73</x:v>
      </x:c>
      <x:c r="F194" s="141" t="n">
        <x:v>84</x:v>
      </x:c>
      <x:c r="G194" s="141" t="n">
        <x:v>94</x:v>
      </x:c>
      <x:c r="H194" s="141" t="n">
        <x:v>81</x:v>
      </x:c>
      <x:c r="I194" s="141" t="str">
        <x:v>Exceeds</x:v>
      </x:c>
      <x:c r="J194" s="141" t="str">
        <x:v>Yes</x:v>
      </x:c>
      <x:c r="K194" s="141" t="str">
        <x:v>No</x:v>
      </x:c>
    </x:row>
    <x:row r="195">
      <x:c r="A195" s="141" t="str">
        <x:v>PF-0194</x:v>
      </x:c>
      <x:c r="B195" s="141" t="str">
        <x:v>SG-25025042101</x:v>
      </x:c>
      <x:c r="C195" s="141" t="str">
        <x:v>Q1</x:v>
      </x:c>
      <x:c r="D195" s="141" t="str">
        <x:v>Supply Chain and Planning</x:v>
      </x:c>
      <x:c r="E195" s="141" t="n">
        <x:v>69</x:v>
      </x:c>
      <x:c r="F195" s="141" t="n">
        <x:v>62</x:v>
      </x:c>
      <x:c r="G195" s="141" t="n">
        <x:v>54</x:v>
      </x:c>
      <x:c r="H195" s="141" t="n">
        <x:v>63.5</x:v>
      </x:c>
      <x:c r="I195" s="141" t="str">
        <x:v>Needs Improvement</x:v>
      </x:c>
      <x:c r="J195" s="141" t="str">
        <x:v>Yes</x:v>
      </x:c>
      <x:c r="K195" s="141" t="str">
        <x:v>No</x:v>
      </x:c>
    </x:row>
    <x:row r="196">
      <x:c r="A196" s="141" t="str">
        <x:v>PF-0195</x:v>
      </x:c>
      <x:c r="B196" s="141" t="str">
        <x:v>SG-25026052202</x:v>
      </x:c>
      <x:c r="C196" s="141" t="str">
        <x:v>Q1</x:v>
      </x:c>
      <x:c r="D196" s="141" t="str">
        <x:v>Supply Chain and Planning</x:v>
      </x:c>
      <x:c r="E196" s="141" t="n">
        <x:v>58</x:v>
      </x:c>
      <x:c r="F196" s="141" t="n">
        <x:v>44</x:v>
      </x:c>
      <x:c r="G196" s="141" t="n">
        <x:v>55</x:v>
      </x:c>
      <x:c r="H196" s="141" t="n">
        <x:v>52.5</x:v>
      </x:c>
      <x:c r="I196" s="141" t="str">
        <x:v>Needs Improvement</x:v>
      </x:c>
      <x:c r="J196" s="141" t="str">
        <x:v>No</x:v>
      </x:c>
      <x:c r="K196" s="141" t="str">
        <x:v>Yes</x:v>
      </x:c>
    </x:row>
    <x:row r="197">
      <x:c r="A197" s="141" t="str">
        <x:v>PF-0196</x:v>
      </x:c>
      <x:c r="B197" s="141" t="str">
        <x:v>SG-25008102503</x:v>
      </x:c>
      <x:c r="C197" s="141" t="str">
        <x:v>Q1</x:v>
      </x:c>
      <x:c r="D197" s="141" t="str">
        <x:v>Supply Chain and Planning</x:v>
      </x:c>
      <x:c r="E197" s="141" t="n">
        <x:v>69</x:v>
      </x:c>
      <x:c r="F197" s="141" t="n">
        <x:v>68</x:v>
      </x:c>
      <x:c r="G197" s="141" t="n">
        <x:v>47</x:v>
      </x:c>
      <x:c r="H197" s="141" t="n">
        <x:v>64.2</x:v>
      </x:c>
      <x:c r="I197" s="141" t="str">
        <x:v>Needs Improvement</x:v>
      </x:c>
      <x:c r="J197" s="141" t="str">
        <x:v>Yes</x:v>
      </x:c>
      <x:c r="K197" s="141" t="str">
        <x:v>Yes</x:v>
      </x:c>
    </x:row>
    <x:row r="198">
      <x:c r="A198" s="141" t="str">
        <x:v>PF-0197</x:v>
      </x:c>
      <x:c r="B198" s="141" t="str">
        <x:v>SG-25013022004</x:v>
      </x:c>
      <x:c r="C198" s="141" t="str">
        <x:v>Q1</x:v>
      </x:c>
      <x:c r="D198" s="141" t="str">
        <x:v>Supply Chain and Planning</x:v>
      </x:c>
      <x:c r="E198" s="141" t="n">
        <x:v>47</x:v>
      </x:c>
      <x:c r="F198" s="141" t="n">
        <x:v>70</x:v>
      </x:c>
      <x:c r="G198" s="141" t="n">
        <x:v>58</x:v>
      </x:c>
      <x:c r="H198" s="141" t="n">
        <x:v>57.3</x:v>
      </x:c>
      <x:c r="I198" s="141" t="str">
        <x:v>Needs Improvement</x:v>
      </x:c>
      <x:c r="J198" s="141" t="str">
        <x:v>Yes</x:v>
      </x:c>
      <x:c r="K198" s="141" t="str">
        <x:v>Yes</x:v>
      </x:c>
    </x:row>
    <x:row r="199">
      <x:c r="A199" s="141" t="str">
        <x:v>PF-0198</x:v>
      </x:c>
      <x:c r="B199" s="141" t="str">
        <x:v>SG-25013022004</x:v>
      </x:c>
      <x:c r="C199" s="141" t="str">
        <x:v>Q2</x:v>
      </x:c>
      <x:c r="D199" s="141" t="str">
        <x:v>Supply Chain and Planning</x:v>
      </x:c>
      <x:c r="E199" s="141" t="n">
        <x:v>70</x:v>
      </x:c>
      <x:c r="F199" s="141" t="n">
        <x:v>63</x:v>
      </x:c>
      <x:c r="G199" s="141" t="n">
        <x:v>72</x:v>
      </x:c>
      <x:c r="H199" s="141" t="n">
        <x:v>68</x:v>
      </x:c>
      <x:c r="I199" s="141" t="str">
        <x:v>Meets</x:v>
      </x:c>
      <x:c r="J199" s="141" t="str">
        <x:v>Yes</x:v>
      </x:c>
      <x:c r="K199" s="141" t="str">
        <x:v>No</x:v>
      </x:c>
    </x:row>
    <x:row r="200">
      <x:c r="A200" s="141" t="str">
        <x:v>PF-0199</x:v>
      </x:c>
      <x:c r="B200" s="141" t="str">
        <x:v>SG-25013022004</x:v>
      </x:c>
      <x:c r="C200" s="141" t="str">
        <x:v>Q3</x:v>
      </x:c>
      <x:c r="D200" s="141" t="str">
        <x:v>Supply Chain and Planning</x:v>
      </x:c>
      <x:c r="E200" s="141" t="n">
        <x:v>82</x:v>
      </x:c>
      <x:c r="F200" s="141" t="n">
        <x:v>96</x:v>
      </x:c>
      <x:c r="G200" s="141" t="n">
        <x:v>80</x:v>
      </x:c>
      <x:c r="H200" s="141" t="n">
        <x:v>86.5</x:v>
      </x:c>
      <x:c r="I200" s="141" t="str">
        <x:v>Exceeds</x:v>
      </x:c>
      <x:c r="J200" s="141" t="str">
        <x:v>No</x:v>
      </x:c>
      <x:c r="K200" s="141" t="str">
        <x:v>No</x:v>
      </x:c>
    </x:row>
    <x:row r="201">
      <x:c r="A201" s="141" t="str">
        <x:v>PF-0200</x:v>
      </x:c>
      <x:c r="B201" s="141" t="str">
        <x:v>SG-25013022004</x:v>
      </x:c>
      <x:c r="C201" s="141" t="str">
        <x:v>Q4</x:v>
      </x:c>
      <x:c r="D201" s="141" t="str">
        <x:v>Supply Chain and Planning</x:v>
      </x:c>
      <x:c r="E201" s="141" t="n">
        <x:v>100</x:v>
      </x:c>
      <x:c r="F201" s="141" t="n">
        <x:v>85</x:v>
      </x:c>
      <x:c r="G201" s="141" t="n">
        <x:v>84</x:v>
      </x:c>
      <x:c r="H201" s="141" t="n">
        <x:v>91.5</x:v>
      </x:c>
      <x:c r="I201" s="141" t="str">
        <x:v>Exceptional</x:v>
      </x:c>
      <x:c r="J201" s="141" t="str">
        <x:v>Yes</x:v>
      </x:c>
      <x:c r="K201" s="141" t="str">
        <x:v>Yes</x:v>
      </x:c>
    </x:row>
    <x:row r="202">
      <x:c r="A202" s="141" t="str">
        <x:v>PF-0201</x:v>
      </x:c>
      <x:c r="B202" s="141" t="str">
        <x:v>SG-25006072105</x:v>
      </x:c>
      <x:c r="C202" s="141" t="str">
        <x:v>Q1</x:v>
      </x:c>
      <x:c r="D202" s="141" t="str">
        <x:v>Supply Chain and Planning</x:v>
      </x:c>
      <x:c r="E202" s="141" t="n">
        <x:v>64</x:v>
      </x:c>
      <x:c r="F202" s="141" t="n">
        <x:v>53</x:v>
      </x:c>
      <x:c r="G202" s="141" t="n">
        <x:v>57</x:v>
      </x:c>
      <x:c r="H202" s="141" t="n">
        <x:v>58.7</x:v>
      </x:c>
      <x:c r="I202" s="141" t="str">
        <x:v>Needs Improvement</x:v>
      </x:c>
      <x:c r="J202" s="141" t="str">
        <x:v>Yes</x:v>
      </x:c>
      <x:c r="K202" s="141" t="str">
        <x:v>Yes</x:v>
      </x:c>
    </x:row>
    <x:row r="203">
      <x:c r="A203" s="141" t="str">
        <x:v>PF-0202</x:v>
      </x:c>
      <x:c r="B203" s="141" t="str">
        <x:v>SG-25007032106</x:v>
      </x:c>
      <x:c r="C203" s="141" t="str">
        <x:v>Q1</x:v>
      </x:c>
      <x:c r="D203" s="141" t="str">
        <x:v>Supply Chain and Planning</x:v>
      </x:c>
      <x:c r="E203" s="141" t="n">
        <x:v>55</x:v>
      </x:c>
      <x:c r="F203" s="141" t="n">
        <x:v>57</x:v>
      </x:c>
      <x:c r="G203" s="141" t="n">
        <x:v>64</x:v>
      </x:c>
      <x:c r="H203" s="141" t="n">
        <x:v>57.5</x:v>
      </x:c>
      <x:c r="I203" s="141" t="str">
        <x:v>Needs Improvement</x:v>
      </x:c>
      <x:c r="J203" s="141" t="str">
        <x:v>Yes</x:v>
      </x:c>
      <x:c r="K203" s="141" t="str">
        <x:v>No</x:v>
      </x:c>
    </x:row>
    <x:row r="204">
      <x:c r="A204" s="141" t="str">
        <x:v>PF-0203</x:v>
      </x:c>
      <x:c r="B204" s="141" t="str">
        <x:v>SG-25007032106</x:v>
      </x:c>
      <x:c r="C204" s="141" t="str">
        <x:v>Q2</x:v>
      </x:c>
      <x:c r="D204" s="141" t="str">
        <x:v>Supply Chain and Planning</x:v>
      </x:c>
      <x:c r="E204" s="141" t="n">
        <x:v>79</x:v>
      </x:c>
      <x:c r="F204" s="141" t="n">
        <x:v>56</x:v>
      </x:c>
      <x:c r="G204" s="141" t="n">
        <x:v>76</x:v>
      </x:c>
      <x:c r="H204" s="141" t="n">
        <x:v>70.4</x:v>
      </x:c>
      <x:c r="I204" s="141" t="str">
        <x:v>Meets</x:v>
      </x:c>
      <x:c r="J204" s="141" t="str">
        <x:v>No</x:v>
      </x:c>
      <x:c r="K204" s="141" t="str">
        <x:v>No</x:v>
      </x:c>
    </x:row>
    <x:row r="205">
      <x:c r="A205" s="141" t="str">
        <x:v>PF-0204</x:v>
      </x:c>
      <x:c r="B205" s="141" t="str">
        <x:v>SG-25007032106</x:v>
      </x:c>
      <x:c r="C205" s="141" t="str">
        <x:v>Q3</x:v>
      </x:c>
      <x:c r="D205" s="141" t="str">
        <x:v>Supply Chain and Planning</x:v>
      </x:c>
      <x:c r="E205" s="141" t="n">
        <x:v>91</x:v>
      </x:c>
      <x:c r="F205" s="141" t="n">
        <x:v>78</x:v>
      </x:c>
      <x:c r="G205" s="141" t="n">
        <x:v>82</x:v>
      </x:c>
      <x:c r="H205" s="141" t="n">
        <x:v>84.7</x:v>
      </x:c>
      <x:c r="I205" s="141" t="str">
        <x:v>Exceeds</x:v>
      </x:c>
      <x:c r="J205" s="141" t="str">
        <x:v>Yes</x:v>
      </x:c>
      <x:c r="K205" s="141" t="str">
        <x:v>No</x:v>
      </x:c>
    </x:row>
    <x:row r="206">
      <x:c r="A206" s="141" t="str">
        <x:v>PF-0205</x:v>
      </x:c>
      <x:c r="B206" s="141" t="str">
        <x:v>SG-25007032106</x:v>
      </x:c>
      <x:c r="C206" s="141" t="str">
        <x:v>Q4</x:v>
      </x:c>
      <x:c r="D206" s="141" t="str">
        <x:v>Supply Chain and Planning</x:v>
      </x:c>
      <x:c r="E206" s="141" t="n">
        <x:v>75</x:v>
      </x:c>
      <x:c r="F206" s="141" t="n">
        <x:v>90</x:v>
      </x:c>
      <x:c r="G206" s="141" t="n">
        <x:v>86</x:v>
      </x:c>
      <x:c r="H206" s="141" t="n">
        <x:v>82.5</x:v>
      </x:c>
      <x:c r="I206" s="141" t="str">
        <x:v>Exceeds</x:v>
      </x:c>
      <x:c r="J206" s="141" t="str">
        <x:v>Yes</x:v>
      </x:c>
      <x:c r="K206" s="141" t="str">
        <x:v>Yes</x:v>
      </x:c>
    </x:row>
    <x:row r="207">
      <x:c r="A207" s="141" t="str">
        <x:v>PF-0206</x:v>
      </x:c>
      <x:c r="B207" s="141" t="str">
        <x:v>SG-26014051901</x:v>
      </x:c>
      <x:c r="C207" s="141" t="str">
        <x:v>Q1</x:v>
      </x:c>
      <x:c r="D207" s="141" t="str">
        <x:v>Procurement</x:v>
      </x:c>
      <x:c r="E207" s="141" t="n">
        <x:v>55</x:v>
      </x:c>
      <x:c r="F207" s="141" t="n">
        <x:v>78</x:v>
      </x:c>
      <x:c r="G207" s="141" t="n">
        <x:v>59</x:v>
      </x:c>
      <x:c r="H207" s="141" t="n">
        <x:v>63.8</x:v>
      </x:c>
      <x:c r="I207" s="141" t="str">
        <x:v>Needs Improvement</x:v>
      </x:c>
      <x:c r="J207" s="141" t="str">
        <x:v>Yes</x:v>
      </x:c>
      <x:c r="K207" s="141" t="str">
        <x:v>No</x:v>
      </x:c>
    </x:row>
    <x:row r="208">
      <x:c r="A208" s="141" t="str">
        <x:v>PF-0207</x:v>
      </x:c>
      <x:c r="B208" s="141" t="str">
        <x:v>SG-26005022102</x:v>
      </x:c>
      <x:c r="C208" s="141" t="str">
        <x:v>Q1</x:v>
      </x:c>
      <x:c r="D208" s="141" t="str">
        <x:v>Procurement</x:v>
      </x:c>
      <x:c r="E208" s="141" t="n">
        <x:v>53</x:v>
      </x:c>
      <x:c r="F208" s="141" t="n">
        <x:v>62</x:v>
      </x:c>
      <x:c r="G208" s="141" t="n">
        <x:v>65</x:v>
      </x:c>
      <x:c r="H208" s="141" t="n">
        <x:v>58.5</x:v>
      </x:c>
      <x:c r="I208" s="141" t="str">
        <x:v>Needs Improvement</x:v>
      </x:c>
      <x:c r="J208" s="141" t="str">
        <x:v>No</x:v>
      </x:c>
      <x:c r="K208" s="141" t="str">
        <x:v>No</x:v>
      </x:c>
    </x:row>
    <x:row r="209">
      <x:c r="A209" s="141" t="str">
        <x:v>PF-0208</x:v>
      </x:c>
      <x:c r="B209" s="141" t="str">
        <x:v>SG-26005072003</x:v>
      </x:c>
      <x:c r="C209" s="141" t="str">
        <x:v>Q1</x:v>
      </x:c>
      <x:c r="D209" s="141" t="str">
        <x:v>Procurement</x:v>
      </x:c>
      <x:c r="E209" s="141" t="n">
        <x:v>49</x:v>
      </x:c>
      <x:c r="F209" s="141" t="n">
        <x:v>75</x:v>
      </x:c>
      <x:c r="G209" s="141" t="n">
        <x:v>67</x:v>
      </x:c>
      <x:c r="H209" s="141" t="n">
        <x:v>61.7</x:v>
      </x:c>
      <x:c r="I209" s="141" t="str">
        <x:v>Needs Improvement</x:v>
      </x:c>
      <x:c r="J209" s="141" t="str">
        <x:v>Yes</x:v>
      </x:c>
      <x:c r="K209" s="141" t="str">
        <x:v>No</x:v>
      </x:c>
    </x:row>
    <x:row r="210">
      <x:c r="A210" s="141" t="str">
        <x:v>PF-0209</x:v>
      </x:c>
      <x:c r="B210" s="141" t="str">
        <x:v>SG-26005072003</x:v>
      </x:c>
      <x:c r="C210" s="141" t="str">
        <x:v>Q2</x:v>
      </x:c>
      <x:c r="D210" s="141" t="str">
        <x:v>Procurement</x:v>
      </x:c>
      <x:c r="E210" s="141" t="n">
        <x:v>58</x:v>
      </x:c>
      <x:c r="F210" s="141" t="n">
        <x:v>86</x:v>
      </x:c>
      <x:c r="G210" s="141" t="n">
        <x:v>72</x:v>
      </x:c>
      <x:c r="H210" s="141" t="n">
        <x:v>70.6</x:v>
      </x:c>
      <x:c r="I210" s="141" t="str">
        <x:v>Meets</x:v>
      </x:c>
      <x:c r="J210" s="141" t="str">
        <x:v>Yes</x:v>
      </x:c>
      <x:c r="K210" s="141" t="str">
        <x:v>Yes</x:v>
      </x:c>
    </x:row>
    <x:row r="211">
      <x:c r="A211" s="141" t="str">
        <x:v>PF-0210</x:v>
      </x:c>
      <x:c r="B211" s="141" t="str">
        <x:v>SG-26005072003</x:v>
      </x:c>
      <x:c r="C211" s="141" t="str">
        <x:v>Q3</x:v>
      </x:c>
      <x:c r="D211" s="141" t="str">
        <x:v>Procurement</x:v>
      </x:c>
      <x:c r="E211" s="141" t="n">
        <x:v>81</x:v>
      </x:c>
      <x:c r="F211" s="141" t="n">
        <x:v>93</x:v>
      </x:c>
      <x:c r="G211" s="141" t="n">
        <x:v>91</x:v>
      </x:c>
      <x:c r="H211" s="141" t="n">
        <x:v>87.2</x:v>
      </x:c>
      <x:c r="I211" s="141" t="str">
        <x:v>Exceeds</x:v>
      </x:c>
      <x:c r="J211" s="141" t="str">
        <x:v>Yes</x:v>
      </x:c>
      <x:c r="K211" s="141" t="str">
        <x:v>No</x:v>
      </x:c>
    </x:row>
    <x:row r="212">
      <x:c r="A212" s="141" t="str">
        <x:v>PF-0211</x:v>
      </x:c>
      <x:c r="B212" s="141" t="str">
        <x:v>SG-26005072003</x:v>
      </x:c>
      <x:c r="C212" s="141" t="str">
        <x:v>Q4</x:v>
      </x:c>
      <x:c r="D212" s="141" t="str">
        <x:v>Procurement</x:v>
      </x:c>
      <x:c r="E212" s="141" t="n">
        <x:v>89</x:v>
      </x:c>
      <x:c r="F212" s="141" t="n">
        <x:v>82</x:v>
      </x:c>
      <x:c r="G212" s="141" t="n">
        <x:v>99</x:v>
      </x:c>
      <x:c r="H212" s="141" t="n">
        <x:v>88.5</x:v>
      </x:c>
      <x:c r="I212" s="141" t="str">
        <x:v>Exceeds</x:v>
      </x:c>
      <x:c r="J212" s="141" t="str">
        <x:v>Yes</x:v>
      </x:c>
      <x:c r="K212" s="141" t="str">
        <x:v>No</x:v>
      </x:c>
    </x:row>
    <x:row r="213">
      <x:c r="A213" s="141" t="str">
        <x:v>PF-0212</x:v>
      </x:c>
      <x:c r="B213" s="141" t="str">
        <x:v>SG-26002032004</x:v>
      </x:c>
      <x:c r="C213" s="141" t="str">
        <x:v>Q1</x:v>
      </x:c>
      <x:c r="D213" s="141" t="str">
        <x:v>Procurement</x:v>
      </x:c>
      <x:c r="E213" s="141" t="n">
        <x:v>67</x:v>
      </x:c>
      <x:c r="F213" s="141" t="n">
        <x:v>71</x:v>
      </x:c>
      <x:c r="G213" s="141" t="n">
        <x:v>62</x:v>
      </x:c>
      <x:c r="H213" s="141" t="n">
        <x:v>67.4</x:v>
      </x:c>
      <x:c r="I213" s="141" t="str">
        <x:v>Meets</x:v>
      </x:c>
      <x:c r="J213" s="141" t="str">
        <x:v>Yes</x:v>
      </x:c>
      <x:c r="K213" s="141" t="str">
        <x:v>No</x:v>
      </x:c>
    </x:row>
    <x:row r="214">
      <x:c r="A214" s="141" t="str">
        <x:v>PF-0213</x:v>
      </x:c>
      <x:c r="B214" s="141" t="str">
        <x:v>SG-27016122001</x:v>
      </x:c>
      <x:c r="C214" s="141" t="str">
        <x:v>Q1</x:v>
      </x:c>
      <x:c r="D214" s="141" t="str">
        <x:v>Finance and Accounts</x:v>
      </x:c>
      <x:c r="E214" s="141" t="n">
        <x:v>61</x:v>
      </x:c>
      <x:c r="F214" s="141" t="n">
        <x:v>67</x:v>
      </x:c>
      <x:c r="G214" s="141" t="n">
        <x:v>45</x:v>
      </x:c>
      <x:c r="H214" s="141" t="n">
        <x:v>59.9</x:v>
      </x:c>
      <x:c r="I214" s="141" t="str">
        <x:v>Needs Improvement</x:v>
      </x:c>
      <x:c r="J214" s="141" t="str">
        <x:v>No</x:v>
      </x:c>
      <x:c r="K214" s="141" t="str">
        <x:v>Yes</x:v>
      </x:c>
    </x:row>
    <x:row r="215">
      <x:c r="A215" s="141" t="str">
        <x:v>PF-0214</x:v>
      </x:c>
      <x:c r="B215" s="141" t="str">
        <x:v>SG-27016122001</x:v>
      </x:c>
      <x:c r="C215" s="141" t="str">
        <x:v>Q2</x:v>
      </x:c>
      <x:c r="D215" s="141" t="str">
        <x:v>Finance and Accounts</x:v>
      </x:c>
      <x:c r="E215" s="141" t="n">
        <x:v>58</x:v>
      </x:c>
      <x:c r="F215" s="141" t="n">
        <x:v>76</x:v>
      </x:c>
      <x:c r="G215" s="141" t="n">
        <x:v>80</x:v>
      </x:c>
      <x:c r="H215" s="141" t="n">
        <x:v>68.7</x:v>
      </x:c>
      <x:c r="I215" s="141" t="str">
        <x:v>Meets</x:v>
      </x:c>
      <x:c r="J215" s="141" t="str">
        <x:v>No</x:v>
      </x:c>
      <x:c r="K215" s="141" t="str">
        <x:v>No</x:v>
      </x:c>
    </x:row>
    <x:row r="216">
      <x:c r="A216" s="141" t="str">
        <x:v>PF-0215</x:v>
      </x:c>
      <x:c r="B216" s="141" t="str">
        <x:v>SG-27016122001</x:v>
      </x:c>
      <x:c r="C216" s="141" t="str">
        <x:v>Q3</x:v>
      </x:c>
      <x:c r="D216" s="141" t="str">
        <x:v>Finance and Accounts</x:v>
      </x:c>
      <x:c r="E216" s="141" t="n">
        <x:v>74</x:v>
      </x:c>
      <x:c r="F216" s="141" t="n">
        <x:v>90</x:v>
      </x:c>
      <x:c r="G216" s="141" t="n">
        <x:v>75</x:v>
      </x:c>
      <x:c r="H216" s="141" t="n">
        <x:v>79.8</x:v>
      </x:c>
      <x:c r="I216" s="141" t="str">
        <x:v>Meets</x:v>
      </x:c>
      <x:c r="J216" s="141" t="str">
        <x:v>Yes</x:v>
      </x:c>
      <x:c r="K216" s="141" t="str">
        <x:v>Yes</x:v>
      </x:c>
    </x:row>
    <x:row r="217">
      <x:c r="A217" s="141" t="str">
        <x:v>PF-0216</x:v>
      </x:c>
      <x:c r="B217" s="141" t="str">
        <x:v>SG-27016122001</x:v>
      </x:c>
      <x:c r="C217" s="141" t="str">
        <x:v>Q4</x:v>
      </x:c>
      <x:c r="D217" s="141" t="str">
        <x:v>Finance and Accounts</x:v>
      </x:c>
      <x:c r="E217" s="141" t="n">
        <x:v>89</x:v>
      </x:c>
      <x:c r="F217" s="141" t="n">
        <x:v>76</x:v>
      </x:c>
      <x:c r="G217" s="141" t="n">
        <x:v>99</x:v>
      </x:c>
      <x:c r="H217" s="141" t="n">
        <x:v>86.5</x:v>
      </x:c>
      <x:c r="I217" s="141" t="str">
        <x:v>Exceeds</x:v>
      </x:c>
      <x:c r="J217" s="141" t="str">
        <x:v>No</x:v>
      </x:c>
      <x:c r="K217" s="141" t="str">
        <x:v>Yes</x:v>
      </x:c>
    </x:row>
    <x:row r="218">
      <x:c r="A218" s="141" t="str">
        <x:v>PF-0217</x:v>
      </x:c>
      <x:c r="B218" s="141" t="str">
        <x:v>SG-27024032502</x:v>
      </x:c>
      <x:c r="C218" s="141" t="str">
        <x:v>Q1</x:v>
      </x:c>
      <x:c r="D218" s="141" t="str">
        <x:v>Finance and Accounts</x:v>
      </x:c>
      <x:c r="E218" s="141" t="n">
        <x:v>41</x:v>
      </x:c>
      <x:c r="F218" s="141" t="n">
        <x:v>49</x:v>
      </x:c>
      <x:c r="G218" s="141" t="n">
        <x:v>71</x:v>
      </x:c>
      <x:c r="H218" s="141" t="n">
        <x:v>49.8</x:v>
      </x:c>
      <x:c r="I218" s="141" t="str">
        <x:v>Needs Improvement</x:v>
      </x:c>
      <x:c r="J218" s="141" t="str">
        <x:v>Yes</x:v>
      </x:c>
      <x:c r="K218" s="141" t="str">
        <x:v>Yes</x:v>
      </x:c>
    </x:row>
    <x:row r="219">
      <x:c r="A219" s="141" t="str">
        <x:v>PF-0218</x:v>
      </x:c>
      <x:c r="B219" s="141" t="str">
        <x:v>SG-27008102203</x:v>
      </x:c>
      <x:c r="C219" s="141" t="str">
        <x:v>Q1</x:v>
      </x:c>
      <x:c r="D219" s="141" t="str">
        <x:v>Finance and Accounts</x:v>
      </x:c>
      <x:c r="E219" s="141" t="n">
        <x:v>37</x:v>
      </x:c>
      <x:c r="F219" s="141" t="n">
        <x:v>52</x:v>
      </x:c>
      <x:c r="G219" s="141" t="n">
        <x:v>60</x:v>
      </x:c>
      <x:c r="H219" s="141" t="n">
        <x:v>46.9</x:v>
      </x:c>
      <x:c r="I219" s="141" t="str">
        <x:v>Needs Improvement</x:v>
      </x:c>
      <x:c r="J219" s="141" t="str">
        <x:v>Yes</x:v>
      </x:c>
      <x:c r="K219" s="141" t="str">
        <x:v>Yes</x:v>
      </x:c>
    </x:row>
    <x:row r="220">
      <x:c r="A220" s="141" t="str">
        <x:v>PF-0219</x:v>
      </x:c>
      <x:c r="B220" s="141" t="str">
        <x:v>SG-27024112004</x:v>
      </x:c>
      <x:c r="C220" s="141" t="str">
        <x:v>Q1</x:v>
      </x:c>
      <x:c r="D220" s="141" t="str">
        <x:v>Finance and Accounts</x:v>
      </x:c>
      <x:c r="E220" s="141" t="n">
        <x:v>64</x:v>
      </x:c>
      <x:c r="F220" s="141" t="n">
        <x:v>70</x:v>
      </x:c>
      <x:c r="G220" s="141" t="n">
        <x:v>53</x:v>
      </x:c>
      <x:c r="H220" s="141" t="n">
        <x:v>63.9</x:v>
      </x:c>
      <x:c r="I220" s="141" t="str">
        <x:v>Needs Improvement</x:v>
      </x:c>
      <x:c r="J220" s="141" t="str">
        <x:v>Yes</x:v>
      </x:c>
      <x:c r="K220" s="141" t="str">
        <x:v>No</x:v>
      </x:c>
    </x:row>
    <x:row r="221">
      <x:c r="A221" s="141" t="str">
        <x:v>PF-0220</x:v>
      </x:c>
      <x:c r="B221" s="141" t="str">
        <x:v>SG-28028062201</x:v>
      </x:c>
      <x:c r="C221" s="141" t="str">
        <x:v>Q1</x:v>
      </x:c>
      <x:c r="D221" s="141" t="str">
        <x:v>IT Data and HRIS</x:v>
      </x:c>
      <x:c r="E221" s="141" t="n">
        <x:v>69</x:v>
      </x:c>
      <x:c r="F221" s="141" t="n">
        <x:v>69</x:v>
      </x:c>
      <x:c r="G221" s="141" t="n">
        <x:v>63</x:v>
      </x:c>
      <x:c r="H221" s="141" t="n">
        <x:v>67.8</x:v>
      </x:c>
      <x:c r="I221" s="141" t="str">
        <x:v>Meets</x:v>
      </x:c>
      <x:c r="J221" s="141" t="str">
        <x:v>Yes</x:v>
      </x:c>
      <x:c r="K221" s="141" t="str">
        <x:v>No</x:v>
      </x:c>
    </x:row>
    <x:row r="222">
      <x:c r="A222" s="141" t="str">
        <x:v>PF-0221</x:v>
      </x:c>
      <x:c r="B222" s="141" t="str">
        <x:v>SG-28028062201</x:v>
      </x:c>
      <x:c r="C222" s="141" t="str">
        <x:v>Q2</x:v>
      </x:c>
      <x:c r="D222" s="141" t="str">
        <x:v>IT Data and HRIS</x:v>
      </x:c>
      <x:c r="E222" s="141" t="n">
        <x:v>75</x:v>
      </x:c>
      <x:c r="F222" s="141" t="n">
        <x:v>75</x:v>
      </x:c>
      <x:c r="G222" s="141" t="n">
        <x:v>71</x:v>
      </x:c>
      <x:c r="H222" s="141" t="n">
        <x:v>74.2</x:v>
      </x:c>
      <x:c r="I222" s="141" t="str">
        <x:v>Meets</x:v>
      </x:c>
      <x:c r="J222" s="141" t="str">
        <x:v>No</x:v>
      </x:c>
      <x:c r="K222" s="141" t="str">
        <x:v>No</x:v>
      </x:c>
    </x:row>
    <x:row r="223">
      <x:c r="A223" s="141" t="str">
        <x:v>PF-0222</x:v>
      </x:c>
      <x:c r="B223" s="141" t="str">
        <x:v>SG-28028062201</x:v>
      </x:c>
      <x:c r="C223" s="141" t="str">
        <x:v>Q3</x:v>
      </x:c>
      <x:c r="D223" s="141" t="str">
        <x:v>IT Data and HRIS</x:v>
      </x:c>
      <x:c r="E223" s="141" t="n">
        <x:v>73</x:v>
      </x:c>
      <x:c r="F223" s="141" t="n">
        <x:v>75</x:v>
      </x:c>
      <x:c r="G223" s="141" t="n">
        <x:v>69</x:v>
      </x:c>
      <x:c r="H223" s="141" t="n">
        <x:v>72.9</x:v>
      </x:c>
      <x:c r="I223" s="141" t="str">
        <x:v>Meets</x:v>
      </x:c>
      <x:c r="J223" s="141" t="str">
        <x:v>Yes</x:v>
      </x:c>
      <x:c r="K223" s="141" t="str">
        <x:v>Yes</x:v>
      </x:c>
    </x:row>
    <x:row r="224">
      <x:c r="A224" s="141" t="str">
        <x:v>PF-0223</x:v>
      </x:c>
      <x:c r="B224" s="141" t="str">
        <x:v>SG-28028062201</x:v>
      </x:c>
      <x:c r="C224" s="141" t="str">
        <x:v>Q4</x:v>
      </x:c>
      <x:c r="D224" s="141" t="str">
        <x:v>IT Data and HRIS</x:v>
      </x:c>
      <x:c r="E224" s="141" t="n">
        <x:v>87</x:v>
      </x:c>
      <x:c r="F224" s="141" t="n">
        <x:v>80</x:v>
      </x:c>
      <x:c r="G224" s="141" t="n">
        <x:v>83</x:v>
      </x:c>
      <x:c r="H224" s="141" t="n">
        <x:v>83.8</x:v>
      </x:c>
      <x:c r="I224" s="141" t="str">
        <x:v>Exceeds</x:v>
      </x:c>
      <x:c r="J224" s="141" t="str">
        <x:v>Yes</x:v>
      </x:c>
      <x:c r="K224" s="141" t="str">
        <x:v>No</x:v>
      </x:c>
    </x:row>
    <x:row r="225">
      <x:c r="A225" s="141" t="str">
        <x:v>PF-0224</x:v>
      </x:c>
      <x:c r="B225" s="141" t="str">
        <x:v>SG-28012122402</x:v>
      </x:c>
      <x:c r="C225" s="141" t="str">
        <x:v>Q1</x:v>
      </x:c>
      <x:c r="D225" s="141" t="str">
        <x:v>IT Data and HRIS</x:v>
      </x:c>
      <x:c r="E225" s="141" t="n">
        <x:v>69</x:v>
      </x:c>
      <x:c r="F225" s="141" t="n">
        <x:v>63</x:v>
      </x:c>
      <x:c r="G225" s="141" t="n">
        <x:v>62</x:v>
      </x:c>
      <x:c r="H225" s="141" t="n">
        <x:v>65.5</x:v>
      </x:c>
      <x:c r="I225" s="141" t="str">
        <x:v>Meets</x:v>
      </x:c>
      <x:c r="J225" s="141" t="str">
        <x:v>No</x:v>
      </x:c>
      <x:c r="K225" s="141" t="str">
        <x:v>No</x:v>
      </x:c>
    </x:row>
    <x:row r="226">
      <x:c r="A226" s="141" t="str">
        <x:v>PF-0225</x:v>
      </x:c>
      <x:c r="B226" s="141" t="str">
        <x:v>SG-28012122402</x:v>
      </x:c>
      <x:c r="C226" s="141" t="str">
        <x:v>Q2</x:v>
      </x:c>
      <x:c r="D226" s="141" t="str">
        <x:v>IT Data and HRIS</x:v>
      </x:c>
      <x:c r="E226" s="141" t="n">
        <x:v>73</x:v>
      </x:c>
      <x:c r="F226" s="141" t="n">
        <x:v>71</x:v>
      </x:c>
      <x:c r="G226" s="141" t="n">
        <x:v>58</x:v>
      </x:c>
      <x:c r="H226" s="141" t="n">
        <x:v>69.3</x:v>
      </x:c>
      <x:c r="I226" s="141" t="str">
        <x:v>Meets</x:v>
      </x:c>
      <x:c r="J226" s="141" t="str">
        <x:v>No</x:v>
      </x:c>
      <x:c r="K226" s="141" t="str">
        <x:v>Yes</x:v>
      </x:c>
    </x:row>
    <x:row r="227">
      <x:c r="A227" s="141" t="str">
        <x:v>PF-0226</x:v>
      </x:c>
      <x:c r="B227" s="141" t="str">
        <x:v>SG-28012122402</x:v>
      </x:c>
      <x:c r="C227" s="141" t="str">
        <x:v>Q3</x:v>
      </x:c>
      <x:c r="D227" s="141" t="str">
        <x:v>IT Data and HRIS</x:v>
      </x:c>
      <x:c r="E227" s="141" t="n">
        <x:v>65</x:v>
      </x:c>
      <x:c r="F227" s="141" t="n">
        <x:v>76</x:v>
      </x:c>
      <x:c r="G227" s="141" t="n">
        <x:v>76</x:v>
      </x:c>
      <x:c r="H227" s="141" t="n">
        <x:v>71</x:v>
      </x:c>
      <x:c r="I227" s="141" t="str">
        <x:v>Meets</x:v>
      </x:c>
      <x:c r="J227" s="141" t="str">
        <x:v>Yes</x:v>
      </x:c>
      <x:c r="K227" s="141" t="str">
        <x:v>Yes</x:v>
      </x:c>
    </x:row>
    <x:row r="228">
      <x:c r="A228" s="141" t="str">
        <x:v>PF-0227</x:v>
      </x:c>
      <x:c r="B228" s="141" t="str">
        <x:v>SG-28012122402</x:v>
      </x:c>
      <x:c r="C228" s="141" t="str">
        <x:v>Q4</x:v>
      </x:c>
      <x:c r="D228" s="141" t="str">
        <x:v>IT Data and HRIS</x:v>
      </x:c>
      <x:c r="E228" s="141" t="n">
        <x:v>100</x:v>
      </x:c>
      <x:c r="F228" s="141" t="n">
        <x:v>88</x:v>
      </x:c>
      <x:c r="G228" s="141" t="n">
        <x:v>82</x:v>
      </x:c>
      <x:c r="H228" s="141" t="n">
        <x:v>92.2</x:v>
      </x:c>
      <x:c r="I228" s="141" t="str">
        <x:v>Exceptional</x:v>
      </x:c>
      <x:c r="J228" s="141" t="str">
        <x:v>Yes</x:v>
      </x:c>
      <x:c r="K228" s="141" t="str">
        <x:v>No</x:v>
      </x:c>
    </x:row>
    <x:row r="229">
      <x:c r="A229" s="141" t="str">
        <x:v>PF-0228</x:v>
      </x:c>
      <x:c r="B229" s="141" t="str">
        <x:v>SG-28005032303</x:v>
      </x:c>
      <x:c r="C229" s="141" t="str">
        <x:v>Q1</x:v>
      </x:c>
      <x:c r="D229" s="141" t="str">
        <x:v>IT Data and HRIS</x:v>
      </x:c>
      <x:c r="E229" s="141" t="n">
        <x:v>48</x:v>
      </x:c>
      <x:c r="F229" s="141" t="n">
        <x:v>63</x:v>
      </x:c>
      <x:c r="G229" s="141" t="n">
        <x:v>72</x:v>
      </x:c>
      <x:c r="H229" s="141" t="n">
        <x:v>58</x:v>
      </x:c>
      <x:c r="I229" s="141" t="str">
        <x:v>Needs Improvement</x:v>
      </x:c>
      <x:c r="J229" s="141" t="str">
        <x:v>Yes</x:v>
      </x:c>
      <x:c r="K229" s="141" t="str">
        <x:v>Yes</x:v>
      </x:c>
    </x:row>
    <x:row r="230">
      <x:c r="A230" s="141" t="str">
        <x:v>PF-0229</x:v>
      </x:c>
      <x:c r="B230" s="141" t="str">
        <x:v>SG-28005032303</x:v>
      </x:c>
      <x:c r="C230" s="141" t="str">
        <x:v>Q2</x:v>
      </x:c>
      <x:c r="D230" s="141" t="str">
        <x:v>IT Data and HRIS</x:v>
      </x:c>
      <x:c r="E230" s="141" t="n">
        <x:v>55</x:v>
      </x:c>
      <x:c r="F230" s="141" t="n">
        <x:v>67</x:v>
      </x:c>
      <x:c r="G230" s="141" t="n">
        <x:v>63</x:v>
      </x:c>
      <x:c r="H230" s="141" t="n">
        <x:v>60.8</x:v>
      </x:c>
      <x:c r="I230" s="141" t="str">
        <x:v>Needs Improvement</x:v>
      </x:c>
      <x:c r="J230" s="141" t="str">
        <x:v>No</x:v>
      </x:c>
      <x:c r="K230" s="141" t="str">
        <x:v>Yes</x:v>
      </x:c>
    </x:row>
    <x:row r="231">
      <x:c r="A231" s="141" t="str">
        <x:v>PF-0230</x:v>
      </x:c>
      <x:c r="B231" s="141" t="str">
        <x:v>SG-28005032303</x:v>
      </x:c>
      <x:c r="C231" s="141" t="str">
        <x:v>Q3</x:v>
      </x:c>
      <x:c r="D231" s="141" t="str">
        <x:v>IT Data and HRIS</x:v>
      </x:c>
      <x:c r="E231" s="141" t="n">
        <x:v>72</x:v>
      </x:c>
      <x:c r="F231" s="141" t="n">
        <x:v>79</x:v>
      </x:c>
      <x:c r="G231" s="141" t="n">
        <x:v>77</x:v>
      </x:c>
      <x:c r="H231" s="141" t="n">
        <x:v>75.5</x:v>
      </x:c>
      <x:c r="I231" s="141" t="str">
        <x:v>Meets</x:v>
      </x:c>
      <x:c r="J231" s="141" t="str">
        <x:v>Yes</x:v>
      </x:c>
      <x:c r="K231" s="141" t="str">
        <x:v>Yes</x:v>
      </x:c>
    </x:row>
    <x:row r="232">
      <x:c r="A232" s="141" t="str">
        <x:v>PF-0231</x:v>
      </x:c>
      <x:c r="B232" s="141" t="str">
        <x:v>SG-28005032303</x:v>
      </x:c>
      <x:c r="C232" s="141" t="str">
        <x:v>Q4</x:v>
      </x:c>
      <x:c r="D232" s="141" t="str">
        <x:v>IT Data and HRIS</x:v>
      </x:c>
      <x:c r="E232" s="141" t="n">
        <x:v>84</x:v>
      </x:c>
      <x:c r="F232" s="141" t="n">
        <x:v>80</x:v>
      </x:c>
      <x:c r="G232" s="141" t="n">
        <x:v>90</x:v>
      </x:c>
      <x:c r="H232" s="141" t="n">
        <x:v>83.8</x:v>
      </x:c>
      <x:c r="I232" s="141" t="str">
        <x:v>Exceeds</x:v>
      </x:c>
      <x:c r="J232" s="141" t="str">
        <x:v>Yes</x:v>
      </x:c>
      <x:c r="K232" s="141" t="str">
        <x:v>Yes</x:v>
      </x:c>
    </x:row>
    <x:row r="233">
      <x:c r="A233" s="141" t="str">
        <x:v>PF-0232</x:v>
      </x:c>
      <x:c r="B233" s="141" t="str">
        <x:v>SG-28027042404</x:v>
      </x:c>
      <x:c r="C233" s="141" t="str">
        <x:v>Q1</x:v>
      </x:c>
      <x:c r="D233" s="141" t="str">
        <x:v>IT Data and HRIS</x:v>
      </x:c>
      <x:c r="E233" s="141" t="n">
        <x:v>40</x:v>
      </x:c>
      <x:c r="F233" s="141" t="n">
        <x:v>64</x:v>
      </x:c>
      <x:c r="G233" s="141" t="n">
        <x:v>56</x:v>
      </x:c>
      <x:c r="H233" s="141" t="n">
        <x:v>51.6</x:v>
      </x:c>
      <x:c r="I233" s="141" t="str">
        <x:v>Needs Improvement</x:v>
      </x:c>
      <x:c r="J233" s="141" t="str">
        <x:v>No</x:v>
      </x:c>
      <x:c r="K233" s="141" t="str">
        <x:v>Yes</x:v>
      </x:c>
    </x:row>
    <x:row r="234">
      <x:c r="A234" s="141" t="str">
        <x:v>PF-0233</x:v>
      </x:c>
      <x:c r="B234" s="141" t="str">
        <x:v>SG-28027042404</x:v>
      </x:c>
      <x:c r="C234" s="141" t="str">
        <x:v>Q2</x:v>
      </x:c>
      <x:c r="D234" s="141" t="str">
        <x:v>IT Data and HRIS</x:v>
      </x:c>
      <x:c r="E234" s="141" t="n">
        <x:v>63</x:v>
      </x:c>
      <x:c r="F234" s="141" t="n">
        <x:v>65</x:v>
      </x:c>
      <x:c r="G234" s="141" t="n">
        <x:v>85</x:v>
      </x:c>
      <x:c r="H234" s="141" t="n">
        <x:v>68.1</x:v>
      </x:c>
      <x:c r="I234" s="141" t="str">
        <x:v>Meets</x:v>
      </x:c>
      <x:c r="J234" s="141" t="str">
        <x:v>Yes</x:v>
      </x:c>
      <x:c r="K234" s="141" t="str">
        <x:v>No</x:v>
      </x:c>
    </x:row>
    <x:row r="235">
      <x:c r="A235" s="141" t="str">
        <x:v>PF-0234</x:v>
      </x:c>
      <x:c r="B235" s="141" t="str">
        <x:v>SG-28027042404</x:v>
      </x:c>
      <x:c r="C235" s="141" t="str">
        <x:v>Q3</x:v>
      </x:c>
      <x:c r="D235" s="141" t="str">
        <x:v>IT Data and HRIS</x:v>
      </x:c>
      <x:c r="E235" s="141" t="n">
        <x:v>59</x:v>
      </x:c>
      <x:c r="F235" s="141" t="n">
        <x:v>90</x:v>
      </x:c>
      <x:c r="G235" s="141" t="n">
        <x:v>81</x:v>
      </x:c>
      <x:c r="H235" s="141" t="n">
        <x:v>74.2</x:v>
      </x:c>
      <x:c r="I235" s="141" t="str">
        <x:v>Meets</x:v>
      </x:c>
      <x:c r="J235" s="141" t="str">
        <x:v>Yes</x:v>
      </x:c>
      <x:c r="K235" s="141" t="str">
        <x:v>Yes</x:v>
      </x:c>
    </x:row>
    <x:row r="236">
      <x:c r="A236" s="141" t="str">
        <x:v>PF-0235</x:v>
      </x:c>
      <x:c r="B236" s="141" t="str">
        <x:v>SG-28027042404</x:v>
      </x:c>
      <x:c r="C236" s="141" t="str">
        <x:v>Q4</x:v>
      </x:c>
      <x:c r="D236" s="141" t="str">
        <x:v>IT Data and HRIS</x:v>
      </x:c>
      <x:c r="E236" s="141" t="n">
        <x:v>94</x:v>
      </x:c>
      <x:c r="F236" s="141" t="n">
        <x:v>100</x:v>
      </x:c>
      <x:c r="G236" s="141" t="n">
        <x:v>78</x:v>
      </x:c>
      <x:c r="H236" s="141" t="n">
        <x:v>92.9</x:v>
      </x:c>
      <x:c r="I236" s="141" t="str">
        <x:v>Exceptional</x:v>
      </x:c>
      <x:c r="J236" s="141" t="str">
        <x:v>No</x:v>
      </x:c>
      <x:c r="K236" s="141" t="str">
        <x:v>Yes</x:v>
      </x:c>
    </x:row>
    <x:row r="237">
      <x:c r="A237" s="141" t="str">
        <x:v>PF-0236</x:v>
      </x:c>
      <x:c r="B237" s="141" t="str">
        <x:v>SG-29026022301</x:v>
      </x:c>
      <x:c r="C237" s="141" t="str">
        <x:v>Q1</x:v>
      </x:c>
      <x:c r="D237" s="141" t="str">
        <x:v>Sales Distribution and Service</x:v>
      </x:c>
      <x:c r="E237" s="141" t="n">
        <x:v>51</x:v>
      </x:c>
      <x:c r="F237" s="141" t="n">
        <x:v>67</x:v>
      </x:c>
      <x:c r="G237" s="141" t="n">
        <x:v>59</x:v>
      </x:c>
      <x:c r="H237" s="141" t="n">
        <x:v>58.2</x:v>
      </x:c>
      <x:c r="I237" s="141" t="str">
        <x:v>Needs Improvement</x:v>
      </x:c>
      <x:c r="J237" s="141" t="str">
        <x:v>No</x:v>
      </x:c>
      <x:c r="K237" s="141" t="str">
        <x:v>No</x:v>
      </x:c>
    </x:row>
    <x:row r="238">
      <x:c r="A238" s="141" t="str">
        <x:v>PF-0237</x:v>
      </x:c>
      <x:c r="B238" s="141" t="str">
        <x:v>SG-29026022301</x:v>
      </x:c>
      <x:c r="C238" s="141" t="str">
        <x:v>Q2</x:v>
      </x:c>
      <x:c r="D238" s="141" t="str">
        <x:v>Sales Distribution and Service</x:v>
      </x:c>
      <x:c r="E238" s="141" t="n">
        <x:v>73</x:v>
      </x:c>
      <x:c r="F238" s="141" t="n">
        <x:v>58</x:v>
      </x:c>
      <x:c r="G238" s="141" t="n">
        <x:v>68</x:v>
      </x:c>
      <x:c r="H238" s="141" t="n">
        <x:v>66.8</x:v>
      </x:c>
      <x:c r="I238" s="141" t="str">
        <x:v>Meets</x:v>
      </x:c>
      <x:c r="J238" s="141" t="str">
        <x:v>No</x:v>
      </x:c>
      <x:c r="K238" s="141" t="str">
        <x:v>No</x:v>
      </x:c>
    </x:row>
    <x:row r="239">
      <x:c r="A239" s="141" t="str">
        <x:v>PF-0238</x:v>
      </x:c>
      <x:c r="B239" s="141" t="str">
        <x:v>SG-29026022301</x:v>
      </x:c>
      <x:c r="C239" s="141" t="str">
        <x:v>Q3</x:v>
      </x:c>
      <x:c r="D239" s="141" t="str">
        <x:v>Sales Distribution and Service</x:v>
      </x:c>
      <x:c r="E239" s="141" t="n">
        <x:v>82</x:v>
      </x:c>
      <x:c r="F239" s="141" t="n">
        <x:v>80</x:v>
      </x:c>
      <x:c r="G239" s="141" t="n">
        <x:v>84</x:v>
      </x:c>
      <x:c r="H239" s="141" t="n">
        <x:v>81.7</x:v>
      </x:c>
      <x:c r="I239" s="141" t="str">
        <x:v>Exceeds</x:v>
      </x:c>
      <x:c r="J239" s="141" t="str">
        <x:v>No</x:v>
      </x:c>
      <x:c r="K239" s="141" t="str">
        <x:v>Yes</x:v>
      </x:c>
    </x:row>
    <x:row r="240">
      <x:c r="A240" s="141" t="str">
        <x:v>PF-0239</x:v>
      </x:c>
      <x:c r="B240" s="141" t="str">
        <x:v>SG-29026022301</x:v>
      </x:c>
      <x:c r="C240" s="141" t="str">
        <x:v>Q4</x:v>
      </x:c>
      <x:c r="D240" s="141" t="str">
        <x:v>Sales Distribution and Service</x:v>
      </x:c>
      <x:c r="E240" s="141" t="n">
        <x:v>88</x:v>
      </x:c>
      <x:c r="F240" s="141" t="n">
        <x:v>86</x:v>
      </x:c>
      <x:c r="G240" s="141" t="n">
        <x:v>97</x:v>
      </x:c>
      <x:c r="H240" s="141" t="n">
        <x:v>89.1</x:v>
      </x:c>
      <x:c r="I240" s="141" t="str">
        <x:v>Exceeds</x:v>
      </x:c>
      <x:c r="J240" s="141" t="str">
        <x:v>Yes</x:v>
      </x:c>
      <x:c r="K240" s="141" t="str">
        <x:v>No</x:v>
      </x:c>
    </x:row>
    <x:row r="241">
      <x:c r="A241" s="141" t="str">
        <x:v>PF-0240</x:v>
      </x:c>
      <x:c r="B241" s="141" t="str">
        <x:v>SG-29023062202</x:v>
      </x:c>
      <x:c r="C241" s="141" t="str">
        <x:v>Q1</x:v>
      </x:c>
      <x:c r="D241" s="141" t="str">
        <x:v>Sales Distribution and Service</x:v>
      </x:c>
      <x:c r="E241" s="141" t="n">
        <x:v>55</x:v>
      </x:c>
      <x:c r="F241" s="141" t="n">
        <x:v>65</x:v>
      </x:c>
      <x:c r="G241" s="141" t="n">
        <x:v>66</x:v>
      </x:c>
      <x:c r="H241" s="141" t="n">
        <x:v>60.7</x:v>
      </x:c>
      <x:c r="I241" s="141" t="str">
        <x:v>Needs Improvement</x:v>
      </x:c>
      <x:c r="J241" s="141" t="str">
        <x:v>No</x:v>
      </x:c>
      <x:c r="K241" s="141" t="str">
        <x:v>Yes</x:v>
      </x:c>
    </x:row>
    <x:row r="242">
      <x:c r="A242" s="141" t="str">
        <x:v>PF-0241</x:v>
      </x:c>
      <x:c r="B242" s="141" t="str">
        <x:v>SG-29026052403</x:v>
      </x:c>
      <x:c r="C242" s="141" t="str">
        <x:v>Q1</x:v>
      </x:c>
      <x:c r="D242" s="141" t="str">
        <x:v>Sales Distribution and Service</x:v>
      </x:c>
      <x:c r="E242" s="141" t="n">
        <x:v>70</x:v>
      </x:c>
      <x:c r="F242" s="141" t="n">
        <x:v>65</x:v>
      </x:c>
      <x:c r="G242" s="141" t="n">
        <x:v>67</x:v>
      </x:c>
      <x:c r="H242" s="141" t="n">
        <x:v>67.7</x:v>
      </x:c>
      <x:c r="I242" s="141" t="str">
        <x:v>Meets</x:v>
      </x:c>
      <x:c r="J242" s="141" t="str">
        <x:v>No</x:v>
      </x:c>
      <x:c r="K242" s="141" t="str">
        <x:v>Yes</x:v>
      </x:c>
    </x:row>
    <x:row r="243">
      <x:c r="A243" s="141" t="str">
        <x:v>PF-0242</x:v>
      </x:c>
      <x:c r="B243" s="141" t="str">
        <x:v>SG-29026052403</x:v>
      </x:c>
      <x:c r="C243" s="141" t="str">
        <x:v>Q2</x:v>
      </x:c>
      <x:c r="D243" s="141" t="str">
        <x:v>Sales Distribution and Service</x:v>
      </x:c>
      <x:c r="E243" s="141" t="n">
        <x:v>77</x:v>
      </x:c>
      <x:c r="F243" s="141" t="n">
        <x:v>70</x:v>
      </x:c>
      <x:c r="G243" s="141" t="n">
        <x:v>64</x:v>
      </x:c>
      <x:c r="H243" s="141" t="n">
        <x:v>72</x:v>
      </x:c>
      <x:c r="I243" s="141" t="str">
        <x:v>Meets</x:v>
      </x:c>
      <x:c r="J243" s="141" t="str">
        <x:v>Yes</x:v>
      </x:c>
      <x:c r="K243" s="141" t="str">
        <x:v>Yes</x:v>
      </x:c>
    </x:row>
    <x:row r="244">
      <x:c r="A244" s="141" t="str">
        <x:v>PF-0243</x:v>
      </x:c>
      <x:c r="B244" s="141" t="str">
        <x:v>SG-29026052403</x:v>
      </x:c>
      <x:c r="C244" s="141" t="str">
        <x:v>Q3</x:v>
      </x:c>
      <x:c r="D244" s="141" t="str">
        <x:v>Sales Distribution and Service</x:v>
      </x:c>
      <x:c r="E244" s="141" t="n">
        <x:v>82</x:v>
      </x:c>
      <x:c r="F244" s="141" t="n">
        <x:v>93</x:v>
      </x:c>
      <x:c r="G244" s="141" t="n">
        <x:v>98</x:v>
      </x:c>
      <x:c r="H244" s="141" t="n">
        <x:v>89</x:v>
      </x:c>
      <x:c r="I244" s="141" t="str">
        <x:v>Exceeds</x:v>
      </x:c>
      <x:c r="J244" s="141" t="str">
        <x:v>Yes</x:v>
      </x:c>
      <x:c r="K244" s="141" t="str">
        <x:v>No</x:v>
      </x:c>
    </x:row>
    <x:row r="245">
      <x:c r="A245" s="141" t="str">
        <x:v>PF-0244</x:v>
      </x:c>
      <x:c r="B245" s="141" t="str">
        <x:v>SG-29026052403</x:v>
      </x:c>
      <x:c r="C245" s="141" t="str">
        <x:v>Q4</x:v>
      </x:c>
      <x:c r="D245" s="141" t="str">
        <x:v>Sales Distribution and Service</x:v>
      </x:c>
      <x:c r="E245" s="141" t="n">
        <x:v>100</x:v>
      </x:c>
      <x:c r="F245" s="141" t="n">
        <x:v>100</x:v>
      </x:c>
      <x:c r="G245" s="141" t="n">
        <x:v>87</x:v>
      </x:c>
      <x:c r="H245" s="141" t="n">
        <x:v>97.4</x:v>
      </x:c>
      <x:c r="I245" s="141" t="str">
        <x:v>Exceptional</x:v>
      </x:c>
      <x:c r="J245" s="141" t="str">
        <x:v>Yes</x:v>
      </x:c>
      <x:c r="K245" s="141" t="str">
        <x:v>Yes</x:v>
      </x:c>
    </x:row>
    <x:row r="246">
      <x:c r="A246" s="141" t="str">
        <x:v>PF-0245</x:v>
      </x:c>
      <x:c r="B246" s="141" t="str">
        <x:v>SG-29010112404</x:v>
      </x:c>
      <x:c r="C246" s="141" t="str">
        <x:v>Q1</x:v>
      </x:c>
      <x:c r="D246" s="141" t="str">
        <x:v>Sales Distribution and Service</x:v>
      </x:c>
      <x:c r="E246" s="141" t="n">
        <x:v>61</x:v>
      </x:c>
      <x:c r="F246" s="141" t="n">
        <x:v>52</x:v>
      </x:c>
      <x:c r="G246" s="141" t="n">
        <x:v>55</x:v>
      </x:c>
      <x:c r="H246" s="141" t="n">
        <x:v>56.6</x:v>
      </x:c>
      <x:c r="I246" s="141" t="str">
        <x:v>Needs Improvement</x:v>
      </x:c>
      <x:c r="J246" s="141" t="str">
        <x:v>Yes</x:v>
      </x:c>
      <x:c r="K246" s="141" t="str">
        <x:v>No</x:v>
      </x:c>
    </x:row>
    <x:row r="247">
      <x:c r="A247" s="141" t="str">
        <x:v>PF-0246</x:v>
      </x:c>
      <x:c r="B247" s="141" t="str">
        <x:v>SG-30018031801</x:v>
      </x:c>
      <x:c r="C247" s="141" t="str">
        <x:v>Q1</x:v>
      </x:c>
      <x:c r="D247" s="141" t="str">
        <x:v>EHS and Regulatory Compliance</x:v>
      </x:c>
      <x:c r="E247" s="141" t="n">
        <x:v>58</x:v>
      </x:c>
      <x:c r="F247" s="141" t="n">
        <x:v>64</x:v>
      </x:c>
      <x:c r="G247" s="141" t="n">
        <x:v>67</x:v>
      </x:c>
      <x:c r="H247" s="141" t="n">
        <x:v>61.9</x:v>
      </x:c>
      <x:c r="I247" s="141" t="str">
        <x:v>Needs Improvement</x:v>
      </x:c>
      <x:c r="J247" s="141" t="str">
        <x:v>Yes</x:v>
      </x:c>
      <x:c r="K247" s="141" t="str">
        <x:v>No</x:v>
      </x:c>
    </x:row>
    <x:row r="248">
      <x:c r="A248" s="141" t="str">
        <x:v>PF-0247</x:v>
      </x:c>
      <x:c r="B248" s="141" t="str">
        <x:v>SG-30001092002</x:v>
      </x:c>
      <x:c r="C248" s="141" t="str">
        <x:v>Q1</x:v>
      </x:c>
      <x:c r="D248" s="141" t="str">
        <x:v>EHS and Regulatory Compliance</x:v>
      </x:c>
      <x:c r="E248" s="141" t="n">
        <x:v>66</x:v>
      </x:c>
      <x:c r="F248" s="141" t="n">
        <x:v>69</x:v>
      </x:c>
      <x:c r="G248" s="141" t="n">
        <x:v>63</x:v>
      </x:c>
      <x:c r="H248" s="141" t="n">
        <x:v>66.4</x:v>
      </x:c>
      <x:c r="I248" s="141" t="str">
        <x:v>Meets</x:v>
      </x:c>
      <x:c r="J248" s="141" t="str">
        <x:v>Yes</x:v>
      </x:c>
      <x:c r="K248" s="141" t="str">
        <x:v>No</x:v>
      </x:c>
    </x:row>
    <x:row r="249">
      <x:c r="A249" s="141" t="str">
        <x:v>PF-0248</x:v>
      </x:c>
      <x:c r="B249" s="141" t="str">
        <x:v>SG-31029061801</x:v>
      </x:c>
      <x:c r="C249" s="141" t="str">
        <x:v>Q1</x:v>
      </x:c>
      <x:c r="D249" s="141" t="str">
        <x:v>Administration and Security</x:v>
      </x:c>
      <x:c r="E249" s="141" t="n">
        <x:v>73</x:v>
      </x:c>
      <x:c r="F249" s="141" t="n">
        <x:v>65</x:v>
      </x:c>
      <x:c r="G249" s="141" t="n">
        <x:v>58</x:v>
      </x:c>
      <x:c r="H249" s="141" t="n">
        <x:v>67.2</x:v>
      </x:c>
      <x:c r="I249" s="141" t="str">
        <x:v>Meets</x:v>
      </x:c>
      <x:c r="J249" s="141" t="str">
        <x:v>Yes</x:v>
      </x:c>
      <x:c r="K249" s="141" t="str">
        <x:v>Yes</x:v>
      </x:c>
    </x:row>
    <x:row r="250">
      <x:c r="A250" s="141" t="str">
        <x:v>PF-0249</x:v>
      </x:c>
      <x:c r="B250" s="141" t="str">
        <x:v>SG-31029061801</x:v>
      </x:c>
      <x:c r="C250" s="141" t="str">
        <x:v>Q2</x:v>
      </x:c>
      <x:c r="D250" s="141" t="str">
        <x:v>Administration and Security</x:v>
      </x:c>
      <x:c r="E250" s="141" t="n">
        <x:v>58</x:v>
      </x:c>
      <x:c r="F250" s="141" t="n">
        <x:v>70</x:v>
      </x:c>
      <x:c r="G250" s="141" t="n">
        <x:v>71</x:v>
      </x:c>
      <x:c r="H250" s="141" t="n">
        <x:v>64.8</x:v>
      </x:c>
      <x:c r="I250" s="141" t="str">
        <x:v>Needs Improvement</x:v>
      </x:c>
      <x:c r="J250" s="141" t="str">
        <x:v>No</x:v>
      </x:c>
      <x:c r="K250" s="141" t="str">
        <x:v>Yes</x:v>
      </x:c>
    </x:row>
    <x:row r="251">
      <x:c r="A251" s="141" t="str">
        <x:v>PF-0250</x:v>
      </x:c>
      <x:c r="B251" s="141" t="str">
        <x:v>SG-31029061801</x:v>
      </x:c>
      <x:c r="C251" s="141" t="str">
        <x:v>Q3</x:v>
      </x:c>
      <x:c r="D251" s="141" t="str">
        <x:v>Administration and Security</x:v>
      </x:c>
      <x:c r="E251" s="141" t="n">
        <x:v>86</x:v>
      </x:c>
      <x:c r="F251" s="141" t="n">
        <x:v>87</x:v>
      </x:c>
      <x:c r="G251" s="141" t="n">
        <x:v>100</x:v>
      </x:c>
      <x:c r="H251" s="141" t="n">
        <x:v>89.2</x:v>
      </x:c>
      <x:c r="I251" s="141" t="str">
        <x:v>Exceeds</x:v>
      </x:c>
      <x:c r="J251" s="141" t="str">
        <x:v>Yes</x:v>
      </x:c>
      <x:c r="K251" s="141" t="str">
        <x:v>Yes</x:v>
      </x:c>
    </x:row>
    <x:row r="252">
      <x:c r="A252" s="141" t="str">
        <x:v>PF-0251</x:v>
      </x:c>
      <x:c r="B252" s="141" t="str">
        <x:v>SG-31029061801</x:v>
      </x:c>
      <x:c r="C252" s="141" t="str">
        <x:v>Q4</x:v>
      </x:c>
      <x:c r="D252" s="141" t="str">
        <x:v>Administration and Security</x:v>
      </x:c>
      <x:c r="E252" s="141" t="n">
        <x:v>89</x:v>
      </x:c>
      <x:c r="F252" s="141" t="n">
        <x:v>98</x:v>
      </x:c>
      <x:c r="G252" s="141" t="n">
        <x:v>94</x:v>
      </x:c>
      <x:c r="H252" s="141" t="n">
        <x:v>93.1</x:v>
      </x:c>
      <x:c r="I252" s="141" t="str">
        <x:v>Exceptional</x:v>
      </x:c>
      <x:c r="J252" s="141" t="str">
        <x:v>Yes</x:v>
      </x:c>
      <x:c r="K252" s="141" t="str">
        <x:v>Yes</x:v>
      </x:c>
    </x:row>
    <x:row r="253">
      <x:c r="A253" s="141" t="str">
        <x:v>PF-0252</x:v>
      </x:c>
      <x:c r="B253" s="141" t="str">
        <x:v>SG-31002112302</x:v>
      </x:c>
      <x:c r="C253" s="141" t="str">
        <x:v>Q1</x:v>
      </x:c>
      <x:c r="D253" s="141" t="str">
        <x:v>Administration and Security</x:v>
      </x:c>
      <x:c r="E253" s="141" t="n">
        <x:v>57</x:v>
      </x:c>
      <x:c r="F253" s="141" t="n">
        <x:v>46</x:v>
      </x:c>
      <x:c r="G253" s="141" t="n">
        <x:v>62</x:v>
      </x:c>
      <x:c r="H253" s="141" t="n">
        <x:v>54.1</x:v>
      </x:c>
      <x:c r="I253" s="141" t="str">
        <x:v>Needs Improvement</x:v>
      </x:c>
      <x:c r="J253" s="141" t="str">
        <x:v>Yes</x:v>
      </x:c>
      <x:c r="K253" s="141" t="str">
        <x:v>Yes</x:v>
      </x:c>
    </x:row>
    <x:row r="254">
      <x:c r="A254" s="141" t="str">
        <x:v>PF-0253</x:v>
      </x:c>
      <x:c r="B254" s="141" t="str">
        <x:v>SG-12705012605</x:v>
      </x:c>
      <x:c r="C254" s="141" t="str">
        <x:v>Q1</x:v>
      </x:c>
      <x:c r="D254" s="141" t="str">
        <x:v>Human Resources and People</x:v>
      </x:c>
      <x:c r="E254" s="141" t="n">
        <x:v>70</x:v>
      </x:c>
      <x:c r="F254" s="141" t="n">
        <x:v>68</x:v>
      </x:c>
      <x:c r="G254" s="141" t="n">
        <x:v>55</x:v>
      </x:c>
      <x:c r="H254" s="141" t="n">
        <x:v>66.3</x:v>
      </x:c>
      <x:c r="I254" s="141" t="str">
        <x:v>Meets</x:v>
      </x:c>
      <x:c r="J254" s="141" t="str">
        <x:v>No</x:v>
      </x:c>
      <x:c r="K254" s="141" t="str">
        <x:v>Yes</x:v>
      </x:c>
    </x:row>
    <x:row r="255">
      <x:c r="A255" s="141" t="str">
        <x:v>PF-0254</x:v>
      </x:c>
      <x:c r="B255" s="141" t="str">
        <x:v>SG-12705012605</x:v>
      </x:c>
      <x:c r="C255" s="141" t="str">
        <x:v>Q2</x:v>
      </x:c>
      <x:c r="D255" s="141" t="str">
        <x:v>Human Resources and People</x:v>
      </x:c>
      <x:c r="E255" s="141" t="n">
        <x:v>89</x:v>
      </x:c>
      <x:c r="F255" s="141" t="n">
        <x:v>75</x:v>
      </x:c>
      <x:c r="G255" s="141" t="n">
        <x:v>78</x:v>
      </x:c>
      <x:c r="H255" s="141" t="n">
        <x:v>81.9</x:v>
      </x:c>
      <x:c r="I255" s="141" t="str">
        <x:v>Exceeds</x:v>
      </x:c>
      <x:c r="J255" s="141" t="str">
        <x:v>Yes</x:v>
      </x:c>
      <x:c r="K255" s="141" t="str">
        <x:v>No</x:v>
      </x:c>
    </x:row>
    <x:row r="256">
      <x:c r="A256" s="141" t="str">
        <x:v>PF-0255</x:v>
      </x:c>
      <x:c r="B256" s="141" t="str">
        <x:v>SG-12705012605</x:v>
      </x:c>
      <x:c r="C256" s="141" t="str">
        <x:v>Q3</x:v>
      </x:c>
      <x:c r="D256" s="141" t="str">
        <x:v>Human Resources and People</x:v>
      </x:c>
      <x:c r="E256" s="141" t="n">
        <x:v>93</x:v>
      </x:c>
      <x:c r="F256" s="141" t="n">
        <x:v>86</x:v>
      </x:c>
      <x:c r="G256" s="141" t="n">
        <x:v>89</x:v>
      </x:c>
      <x:c r="H256" s="141" t="n">
        <x:v>89.8</x:v>
      </x:c>
      <x:c r="I256" s="141" t="str">
        <x:v>Exceeds</x:v>
      </x:c>
      <x:c r="J256" s="141" t="str">
        <x:v>Yes</x:v>
      </x:c>
      <x:c r="K256" s="141" t="str">
        <x:v>No</x:v>
      </x:c>
    </x:row>
    <x:row r="257">
      <x:c r="A257" s="141" t="str">
        <x:v>PF-0256</x:v>
      </x:c>
      <x:c r="B257" s="141" t="str">
        <x:v>SG-12705012605</x:v>
      </x:c>
      <x:c r="C257" s="141" t="str">
        <x:v>Q4</x:v>
      </x:c>
      <x:c r="D257" s="141" t="str">
        <x:v>Human Resources and People</x:v>
      </x:c>
      <x:c r="E257" s="141" t="n">
        <x:v>100</x:v>
      </x:c>
      <x:c r="F257" s="141" t="n">
        <x:v>100</x:v>
      </x:c>
      <x:c r="G257" s="141" t="n">
        <x:v>93</x:v>
      </x:c>
      <x:c r="H257" s="141" t="n">
        <x:v>98.6</x:v>
      </x:c>
      <x:c r="I257" s="141" t="str">
        <x:v>Exceptional</x:v>
      </x:c>
      <x:c r="J257" s="141" t="str">
        <x:v>No</x:v>
      </x:c>
      <x:c r="K257" s="141" t="str">
        <x:v>No</x:v>
      </x:c>
    </x:row>
    <x:row r="258">
      <x:c r="A258" s="141" t="str">
        <x:v>PF-0261</x:v>
      </x:c>
      <x:c r="B258" s="141" t="str">
        <x:v>SG-21011052646</x:v>
      </x:c>
      <x:c r="C258" s="141" t="str">
        <x:v>Q2</x:v>
      </x:c>
      <x:c r="D258" s="141" t="str">
        <x:v>Smartwatch Production</x:v>
      </x:c>
      <x:c r="E258" s="141" t="n">
        <x:v>75</x:v>
      </x:c>
      <x:c r="F258" s="141" t="n">
        <x:v>73</x:v>
      </x:c>
      <x:c r="G258" s="141" t="n">
        <x:v>76</x:v>
      </x:c>
      <x:c r="H258" s="141" t="n">
        <x:v>74.5</x:v>
      </x:c>
      <x:c r="I258" s="141" t="str">
        <x:v>Meets</x:v>
      </x:c>
      <x:c r="J258" s="141" t="str">
        <x:v>No</x:v>
      </x:c>
      <x:c r="K258" s="141" t="str">
        <x:v>No</x:v>
      </x:c>
    </x:row>
    <x:row r="259">
      <x:c r="A259" s="141" t="str">
        <x:v>PF-0262</x:v>
      </x:c>
      <x:c r="B259" s="141" t="str">
        <x:v>SG-21011052646</x:v>
      </x:c>
      <x:c r="C259" s="141" t="str">
        <x:v>Q3</x:v>
      </x:c>
      <x:c r="D259" s="141" t="str">
        <x:v>Smartwatch Production</x:v>
      </x:c>
      <x:c r="E259" s="141" t="n">
        <x:v>80</x:v>
      </x:c>
      <x:c r="F259" s="141" t="n">
        <x:v>82</x:v>
      </x:c>
      <x:c r="G259" s="141" t="n">
        <x:v>77</x:v>
      </x:c>
      <x:c r="H259" s="141" t="n">
        <x:v>80.1</x:v>
      </x:c>
      <x:c r="I259" s="141" t="str">
        <x:v>Exceeds</x:v>
      </x:c>
      <x:c r="J259" s="141" t="str">
        <x:v>No</x:v>
      </x:c>
      <x:c r="K259" s="141" t="str">
        <x:v>No</x:v>
      </x:c>
    </x:row>
    <x:row r="260">
      <x:c r="A260" s="141" t="str">
        <x:v>PF-0263</x:v>
      </x:c>
      <x:c r="B260" s="141" t="str">
        <x:v>SG-21011052646</x:v>
      </x:c>
      <x:c r="C260" s="141" t="str">
        <x:v>Q4</x:v>
      </x:c>
      <x:c r="D260" s="141" t="str">
        <x:v>Smartwatch Production</x:v>
      </x:c>
      <x:c r="E260" s="141" t="n">
        <x:v>82</x:v>
      </x:c>
      <x:c r="F260" s="141" t="n">
        <x:v>97</x:v>
      </x:c>
      <x:c r="G260" s="141" t="n">
        <x:v>84</x:v>
      </x:c>
      <x:c r="H260" s="141" t="n">
        <x:v>87.6</x:v>
      </x:c>
      <x:c r="I260" s="141" t="str">
        <x:v>Exceeds</x:v>
      </x:c>
      <x:c r="J260" s="141" t="str">
        <x:v>Yes</x:v>
      </x:c>
      <x:c r="K260" s="141" t="str">
        <x:v>Yes</x:v>
      </x:c>
    </x:row>
    <x:row r="261">
      <x:c r="A261" s="141" t="str">
        <x:v>PF-0264</x:v>
      </x:c>
      <x:c r="B261" s="141" t="str">
        <x:v>SG-21030042647</x:v>
      </x:c>
      <x:c r="C261" s="141" t="str">
        <x:v>Q2</x:v>
      </x:c>
      <x:c r="D261" s="141" t="str">
        <x:v>Smartwatch Production</x:v>
      </x:c>
      <x:c r="E261" s="141" t="n">
        <x:v>72</x:v>
      </x:c>
      <x:c r="F261" s="141" t="n">
        <x:v>76</x:v>
      </x:c>
      <x:c r="G261" s="141" t="n">
        <x:v>69</x:v>
      </x:c>
      <x:c r="H261" s="141" t="n">
        <x:v>72.8</x:v>
      </x:c>
      <x:c r="I261" s="141" t="str">
        <x:v>Meets</x:v>
      </x:c>
      <x:c r="J261" s="141" t="str">
        <x:v>Yes</x:v>
      </x:c>
      <x:c r="K261" s="141" t="str">
        <x:v>Yes</x:v>
      </x:c>
    </x:row>
    <x:row r="262">
      <x:c r="A262" s="141" t="str">
        <x:v>PF-0265</x:v>
      </x:c>
      <x:c r="B262" s="141" t="str">
        <x:v>SG-21030042647</x:v>
      </x:c>
      <x:c r="C262" s="141" t="str">
        <x:v>Q3</x:v>
      </x:c>
      <x:c r="D262" s="141" t="str">
        <x:v>Smartwatch Production</x:v>
      </x:c>
      <x:c r="E262" s="141" t="n">
        <x:v>79</x:v>
      </x:c>
      <x:c r="F262" s="141" t="n">
        <x:v>91</x:v>
      </x:c>
      <x:c r="G262" s="141" t="n">
        <x:v>80</x:v>
      </x:c>
      <x:c r="H262" s="141" t="n">
        <x:v>83.4</x:v>
      </x:c>
      <x:c r="I262" s="141" t="str">
        <x:v>Exceeds</x:v>
      </x:c>
      <x:c r="J262" s="141" t="str">
        <x:v>Yes</x:v>
      </x:c>
      <x:c r="K262" s="141" t="str">
        <x:v>Yes</x:v>
      </x:c>
    </x:row>
    <x:row r="263">
      <x:c r="A263" s="141" t="str">
        <x:v>PF-0266</x:v>
      </x:c>
      <x:c r="B263" s="141" t="str">
        <x:v>SG-21030042647</x:v>
      </x:c>
      <x:c r="C263" s="141" t="str">
        <x:v>Q4</x:v>
      </x:c>
      <x:c r="D263" s="141" t="str">
        <x:v>Smartwatch Production</x:v>
      </x:c>
      <x:c r="E263" s="141" t="n">
        <x:v>95</x:v>
      </x:c>
      <x:c r="F263" s="141" t="n">
        <x:v>82</x:v>
      </x:c>
      <x:c r="G263" s="141" t="n">
        <x:v>92</x:v>
      </x:c>
      <x:c r="H263" s="141" t="n">
        <x:v>89.9</x:v>
      </x:c>
      <x:c r="I263" s="141" t="str">
        <x:v>Exceeds</x:v>
      </x:c>
      <x:c r="J263" s="141" t="str">
        <x:v>No</x:v>
      </x:c>
      <x:c r="K263" s="141" t="str">
        <x:v>Yes</x:v>
      </x:c>
    </x:row>
    <x:row r="264">
      <x:c r="A264" s="141" t="str">
        <x:v>PF-0267</x:v>
      </x:c>
      <x:c r="B264" s="141" t="str">
        <x:v>SG-21025062648</x:v>
      </x:c>
      <x:c r="C264" s="141" t="str">
        <x:v>Q2</x:v>
      </x:c>
      <x:c r="D264" s="141" t="str">
        <x:v>Smartwatch Production</x:v>
      </x:c>
      <x:c r="E264" s="141" t="n">
        <x:v>59</x:v>
      </x:c>
      <x:c r="F264" s="141" t="n">
        <x:v>68</x:v>
      </x:c>
      <x:c r="G264" s="141" t="n">
        <x:v>69</x:v>
      </x:c>
      <x:c r="H264" s="141" t="n">
        <x:v>64.1</x:v>
      </x:c>
      <x:c r="I264" s="141" t="str">
        <x:v>Needs Improvement</x:v>
      </x:c>
      <x:c r="J264" s="141" t="str">
        <x:v>No</x:v>
      </x:c>
      <x:c r="K264" s="141" t="str">
        <x:v>No</x:v>
      </x:c>
    </x:row>
    <x:row r="265">
      <x:c r="A265" s="141" t="str">
        <x:v>PF-0268</x:v>
      </x:c>
      <x:c r="B265" s="141" t="str">
        <x:v>SG-21025062648</x:v>
      </x:c>
      <x:c r="C265" s="141" t="str">
        <x:v>Q3</x:v>
      </x:c>
      <x:c r="D265" s="141" t="str">
        <x:v>Smartwatch Production</x:v>
      </x:c>
      <x:c r="E265" s="141" t="n">
        <x:v>58</x:v>
      </x:c>
      <x:c r="F265" s="141" t="n">
        <x:v>81</x:v>
      </x:c>
      <x:c r="G265" s="141" t="n">
        <x:v>89</x:v>
      </x:c>
      <x:c r="H265" s="141" t="n">
        <x:v>72.2</x:v>
      </x:c>
      <x:c r="I265" s="141" t="str">
        <x:v>Meets</x:v>
      </x:c>
      <x:c r="J265" s="141" t="str">
        <x:v>Yes</x:v>
      </x:c>
      <x:c r="K265" s="141" t="str">
        <x:v>Yes</x:v>
      </x:c>
    </x:row>
    <x:row r="266">
      <x:c r="A266" s="141" t="str">
        <x:v>PF-0269</x:v>
      </x:c>
      <x:c r="B266" s="141" t="str">
        <x:v>SG-21025062648</x:v>
      </x:c>
      <x:c r="C266" s="141" t="str">
        <x:v>Q4</x:v>
      </x:c>
      <x:c r="D266" s="141" t="str">
        <x:v>Smartwatch Production</x:v>
      </x:c>
      <x:c r="E266" s="141" t="n">
        <x:v>87</x:v>
      </x:c>
      <x:c r="F266" s="141" t="n">
        <x:v>72</x:v>
      </x:c>
      <x:c r="G266" s="141" t="n">
        <x:v>86</x:v>
      </x:c>
      <x:c r="H266" s="141" t="n">
        <x:v>81.5</x:v>
      </x:c>
      <x:c r="I266" s="141" t="str">
        <x:v>Exceeds</x:v>
      </x:c>
      <x:c r="J266" s="141" t="str">
        <x:v>Yes</x:v>
      </x:c>
      <x:c r="K266" s="141" t="str">
        <x:v>Yes</x:v>
      </x:c>
    </x:row>
    <x:row r="267">
      <x:c r="A267" s="141" t="str">
        <x:v>PF-0270</x:v>
      </x:c>
      <x:c r="B267" s="141" t="str">
        <x:v>SG-21012052649</x:v>
      </x:c>
      <x:c r="C267" s="141" t="str">
        <x:v>Q2</x:v>
      </x:c>
      <x:c r="D267" s="141" t="str">
        <x:v>Smartwatch Production</x:v>
      </x:c>
      <x:c r="E267" s="141" t="n">
        <x:v>87</x:v>
      </x:c>
      <x:c r="F267" s="141" t="n">
        <x:v>68</x:v>
      </x:c>
      <x:c r="G267" s="141" t="n">
        <x:v>67</x:v>
      </x:c>
      <x:c r="H267" s="141" t="n">
        <x:v>76.3</x:v>
      </x:c>
      <x:c r="I267" s="141" t="str">
        <x:v>Meets</x:v>
      </x:c>
      <x:c r="J267" s="141" t="str">
        <x:v>Yes</x:v>
      </x:c>
      <x:c r="K267" s="141" t="str">
        <x:v>Yes</x:v>
      </x:c>
    </x:row>
    <x:row r="268">
      <x:c r="A268" s="141" t="str">
        <x:v>PF-0271</x:v>
      </x:c>
      <x:c r="B268" s="141" t="str">
        <x:v>SG-21012052649</x:v>
      </x:c>
      <x:c r="C268" s="141" t="str">
        <x:v>Q3</x:v>
      </x:c>
      <x:c r="D268" s="141" t="str">
        <x:v>Smartwatch Production</x:v>
      </x:c>
      <x:c r="E268" s="141" t="n">
        <x:v>68</x:v>
      </x:c>
      <x:c r="F268" s="141" t="n">
        <x:v>70</x:v>
      </x:c>
      <x:c r="G268" s="141" t="n">
        <x:v>84</x:v>
      </x:c>
      <x:c r="H268" s="141" t="n">
        <x:v>71.9</x:v>
      </x:c>
      <x:c r="I268" s="141" t="str">
        <x:v>Meets</x:v>
      </x:c>
      <x:c r="J268" s="141" t="str">
        <x:v>Yes</x:v>
      </x:c>
      <x:c r="K268" s="141" t="str">
        <x:v>Yes</x:v>
      </x:c>
    </x:row>
    <x:row r="269">
      <x:c r="A269" s="141" t="str">
        <x:v>PF-0272</x:v>
      </x:c>
      <x:c r="B269" s="141" t="str">
        <x:v>SG-21012052649</x:v>
      </x:c>
      <x:c r="C269" s="141" t="str">
        <x:v>Q4</x:v>
      </x:c>
      <x:c r="D269" s="141" t="str">
        <x:v>Smartwatch Production</x:v>
      </x:c>
      <x:c r="E269" s="141" t="n">
        <x:v>87</x:v>
      </x:c>
      <x:c r="F269" s="141" t="n">
        <x:v>78</x:v>
      </x:c>
      <x:c r="G269" s="141" t="n">
        <x:v>87</x:v>
      </x:c>
      <x:c r="H269" s="141" t="n">
        <x:v>83.8</x:v>
      </x:c>
      <x:c r="I269" s="141" t="str">
        <x:v>Exceeds</x:v>
      </x:c>
      <x:c r="J269" s="141" t="str">
        <x:v>Yes</x:v>
      </x:c>
      <x:c r="K269" s="141" t="str">
        <x:v>No</x:v>
      </x:c>
    </x:row>
    <x:row r="270">
      <x:c r="A270" s="141" t="str">
        <x:v>PF-0273</x:v>
      </x:c>
      <x:c r="B270" s="141" t="str">
        <x:v>SG-21004042650</x:v>
      </x:c>
      <x:c r="C270" s="141" t="str">
        <x:v>Q2</x:v>
      </x:c>
      <x:c r="D270" s="141" t="str">
        <x:v>Smartwatch Production</x:v>
      </x:c>
      <x:c r="E270" s="141" t="n">
        <x:v>61</x:v>
      </x:c>
      <x:c r="F270" s="141" t="n">
        <x:v>63</x:v>
      </x:c>
      <x:c r="G270" s="141" t="n">
        <x:v>76</x:v>
      </x:c>
      <x:c r="H270" s="141" t="n">
        <x:v>64.7</x:v>
      </x:c>
      <x:c r="I270" s="141" t="str">
        <x:v>Needs Improvement</x:v>
      </x:c>
      <x:c r="J270" s="141" t="str">
        <x:v>Yes</x:v>
      </x:c>
      <x:c r="K270" s="141" t="str">
        <x:v>Yes</x:v>
      </x:c>
    </x:row>
    <x:row r="271">
      <x:c r="A271" s="141" t="str">
        <x:v>PF-0274</x:v>
      </x:c>
      <x:c r="B271" s="141" t="str">
        <x:v>SG-21004042650</x:v>
      </x:c>
      <x:c r="C271" s="141" t="str">
        <x:v>Q3</x:v>
      </x:c>
      <x:c r="D271" s="141" t="str">
        <x:v>Smartwatch Production</x:v>
      </x:c>
      <x:c r="E271" s="141" t="n">
        <x:v>76</x:v>
      </x:c>
      <x:c r="F271" s="141" t="n">
        <x:v>57</x:v>
      </x:c>
      <x:c r="G271" s="141" t="n">
        <x:v>75</x:v>
      </x:c>
      <x:c r="H271" s="141" t="n">
        <x:v>69.2</x:v>
      </x:c>
      <x:c r="I271" s="141" t="str">
        <x:v>Meets</x:v>
      </x:c>
      <x:c r="J271" s="141" t="str">
        <x:v>Yes</x:v>
      </x:c>
      <x:c r="K271" s="141" t="str">
        <x:v>Yes</x:v>
      </x:c>
    </x:row>
    <x:row r="272">
      <x:c r="A272" s="141" t="str">
        <x:v>PF-0275</x:v>
      </x:c>
      <x:c r="B272" s="141" t="str">
        <x:v>SG-21004042650</x:v>
      </x:c>
      <x:c r="C272" s="141" t="str">
        <x:v>Q4</x:v>
      </x:c>
      <x:c r="D272" s="141" t="str">
        <x:v>Smartwatch Production</x:v>
      </x:c>
      <x:c r="E272" s="141" t="n">
        <x:v>70</x:v>
      </x:c>
      <x:c r="F272" s="141" t="n">
        <x:v>85</x:v>
      </x:c>
      <x:c r="G272" s="141" t="n">
        <x:v>98</x:v>
      </x:c>
      <x:c r="H272" s="141" t="n">
        <x:v>80.8</x:v>
      </x:c>
      <x:c r="I272" s="141" t="str">
        <x:v>Exceeds</x:v>
      </x:c>
      <x:c r="J272" s="141" t="str">
        <x:v>Yes</x:v>
      </x:c>
      <x:c r="K272" s="141" t="str">
        <x:v>Yes</x:v>
      </x:c>
    </x:row>
    <x:row r="273">
      <x:c r="A273" s="141" t="str">
        <x:v>PF-0276</x:v>
      </x:c>
      <x:c r="B273" s="141" t="str">
        <x:v>SG-21001052651</x:v>
      </x:c>
      <x:c r="C273" s="141" t="str">
        <x:v>Q2</x:v>
      </x:c>
      <x:c r="D273" s="141" t="str">
        <x:v>Smartwatch Production</x:v>
      </x:c>
      <x:c r="E273" s="141" t="n">
        <x:v>68</x:v>
      </x:c>
      <x:c r="F273" s="141" t="n">
        <x:v>69</x:v>
      </x:c>
      <x:c r="G273" s="141" t="n">
        <x:v>66</x:v>
      </x:c>
      <x:c r="H273" s="141" t="n">
        <x:v>68</x:v>
      </x:c>
      <x:c r="I273" s="141" t="str">
        <x:v>Meets</x:v>
      </x:c>
      <x:c r="J273" s="141" t="str">
        <x:v>No</x:v>
      </x:c>
      <x:c r="K273" s="141" t="str">
        <x:v>No</x:v>
      </x:c>
    </x:row>
    <x:row r="274">
      <x:c r="A274" s="141" t="str">
        <x:v>PF-0277</x:v>
      </x:c>
      <x:c r="B274" s="141" t="str">
        <x:v>SG-21001052651</x:v>
      </x:c>
      <x:c r="C274" s="141" t="str">
        <x:v>Q3</x:v>
      </x:c>
      <x:c r="D274" s="141" t="str">
        <x:v>Smartwatch Production</x:v>
      </x:c>
      <x:c r="E274" s="141" t="n">
        <x:v>81</x:v>
      </x:c>
      <x:c r="F274" s="141" t="n">
        <x:v>92</x:v>
      </x:c>
      <x:c r="G274" s="141" t="n">
        <x:v>89</x:v>
      </x:c>
      <x:c r="H274" s="141" t="n">
        <x:v>86.5</x:v>
      </x:c>
      <x:c r="I274" s="141" t="str">
        <x:v>Exceeds</x:v>
      </x:c>
      <x:c r="J274" s="141" t="str">
        <x:v>Yes</x:v>
      </x:c>
      <x:c r="K274" s="141" t="str">
        <x:v>No</x:v>
      </x:c>
    </x:row>
    <x:row r="275">
      <x:c r="A275" s="141" t="str">
        <x:v>PF-0278</x:v>
      </x:c>
      <x:c r="B275" s="141" t="str">
        <x:v>SG-21001052651</x:v>
      </x:c>
      <x:c r="C275" s="141" t="str">
        <x:v>Q4</x:v>
      </x:c>
      <x:c r="D275" s="141" t="str">
        <x:v>Smartwatch Production</x:v>
      </x:c>
      <x:c r="E275" s="141" t="n">
        <x:v>90</x:v>
      </x:c>
      <x:c r="F275" s="141" t="n">
        <x:v>91</x:v>
      </x:c>
      <x:c r="G275" s="141" t="n">
        <x:v>86</x:v>
      </x:c>
      <x:c r="H275" s="141" t="n">
        <x:v>89.5</x:v>
      </x:c>
      <x:c r="I275" s="141" t="str">
        <x:v>Exceeds</x:v>
      </x:c>
      <x:c r="J275" s="141" t="str">
        <x:v>Yes</x:v>
      </x:c>
      <x:c r="K275" s="141" t="str">
        <x:v>Yes</x:v>
      </x:c>
    </x:row>
    <x:row r="276">
      <x:c r="A276" s="141" t="str">
        <x:v>PF-0279</x:v>
      </x:c>
      <x:c r="B276" s="141" t="str">
        <x:v>SG-21011062652</x:v>
      </x:c>
      <x:c r="C276" s="141" t="str">
        <x:v>Q2</x:v>
      </x:c>
      <x:c r="D276" s="141" t="str">
        <x:v>Smartwatch Production</x:v>
      </x:c>
      <x:c r="E276" s="141" t="n">
        <x:v>82</x:v>
      </x:c>
      <x:c r="F276" s="141" t="n">
        <x:v>83</x:v>
      </x:c>
      <x:c r="G276" s="141" t="n">
        <x:v>72</x:v>
      </x:c>
      <x:c r="H276" s="141" t="n">
        <x:v>80.3</x:v>
      </x:c>
      <x:c r="I276" s="141" t="str">
        <x:v>Exceeds</x:v>
      </x:c>
      <x:c r="J276" s="141" t="str">
        <x:v>Yes</x:v>
      </x:c>
      <x:c r="K276" s="141" t="str">
        <x:v>No</x:v>
      </x:c>
    </x:row>
    <x:row r="277">
      <x:c r="A277" s="141" t="str">
        <x:v>PF-0280</x:v>
      </x:c>
      <x:c r="B277" s="141" t="str">
        <x:v>SG-21011062652</x:v>
      </x:c>
      <x:c r="C277" s="141" t="str">
        <x:v>Q3</x:v>
      </x:c>
      <x:c r="D277" s="141" t="str">
        <x:v>Smartwatch Production</x:v>
      </x:c>
      <x:c r="E277" s="141" t="n">
        <x:v>87</x:v>
      </x:c>
      <x:c r="F277" s="141" t="n">
        <x:v>92</x:v>
      </x:c>
      <x:c r="G277" s="141" t="n">
        <x:v>78</x:v>
      </x:c>
      <x:c r="H277" s="141" t="n">
        <x:v>86.9</x:v>
      </x:c>
      <x:c r="I277" s="141" t="str">
        <x:v>Exceeds</x:v>
      </x:c>
      <x:c r="J277" s="141" t="str">
        <x:v>Yes</x:v>
      </x:c>
      <x:c r="K277" s="141" t="str">
        <x:v>No</x:v>
      </x:c>
    </x:row>
    <x:row r="278">
      <x:c r="A278" s="141" t="str">
        <x:v>PF-0281</x:v>
      </x:c>
      <x:c r="B278" s="141" t="str">
        <x:v>SG-21011062652</x:v>
      </x:c>
      <x:c r="C278" s="141" t="str">
        <x:v>Q4</x:v>
      </x:c>
      <x:c r="D278" s="141" t="str">
        <x:v>Smartwatch Production</x:v>
      </x:c>
      <x:c r="E278" s="141" t="n">
        <x:v>100</x:v>
      </x:c>
      <x:c r="F278" s="141" t="n">
        <x:v>100</x:v>
      </x:c>
      <x:c r="G278" s="141" t="n">
        <x:v>86</x:v>
      </x:c>
      <x:c r="H278" s="141" t="n">
        <x:v>97.2</x:v>
      </x:c>
      <x:c r="I278" s="141" t="str">
        <x:v>Exceptional</x:v>
      </x:c>
      <x:c r="J278" s="141" t="str">
        <x:v>Yes</x:v>
      </x:c>
      <x:c r="K278" s="141" t="str">
        <x:v>Yes</x:v>
      </x:c>
    </x:row>
    <x:row r="279">
      <x:c r="A279" s="141" t="str">
        <x:v>PF-0282</x:v>
      </x:c>
      <x:c r="B279" s="141" t="str">
        <x:v>SG-21017062653</x:v>
      </x:c>
      <x:c r="C279" s="141" t="str">
        <x:v>Q2</x:v>
      </x:c>
      <x:c r="D279" s="141" t="str">
        <x:v>Smartwatch Production</x:v>
      </x:c>
      <x:c r="E279" s="141" t="n">
        <x:v>64</x:v>
      </x:c>
      <x:c r="F279" s="141" t="n">
        <x:v>66</x:v>
      </x:c>
      <x:c r="G279" s="141" t="n">
        <x:v>70</x:v>
      </x:c>
      <x:c r="H279" s="141" t="n">
        <x:v>65.9</x:v>
      </x:c>
      <x:c r="I279" s="141" t="str">
        <x:v>Meets</x:v>
      </x:c>
      <x:c r="J279" s="141" t="str">
        <x:v>No</x:v>
      </x:c>
      <x:c r="K279" s="141" t="str">
        <x:v>No</x:v>
      </x:c>
    </x:row>
    <x:row r="280">
      <x:c r="A280" s="141" t="str">
        <x:v>PF-0283</x:v>
      </x:c>
      <x:c r="B280" s="141" t="str">
        <x:v>SG-21017062653</x:v>
      </x:c>
      <x:c r="C280" s="141" t="str">
        <x:v>Q3</x:v>
      </x:c>
      <x:c r="D280" s="141" t="str">
        <x:v>Smartwatch Production</x:v>
      </x:c>
      <x:c r="E280" s="141" t="n">
        <x:v>82</x:v>
      </x:c>
      <x:c r="F280" s="141" t="n">
        <x:v>84</x:v>
      </x:c>
      <x:c r="G280" s="141" t="n">
        <x:v>74</x:v>
      </x:c>
      <x:c r="H280" s="141" t="n">
        <x:v>81.1</x:v>
      </x:c>
      <x:c r="I280" s="141" t="str">
        <x:v>Exceeds</x:v>
      </x:c>
      <x:c r="J280" s="141" t="str">
        <x:v>Yes</x:v>
      </x:c>
      <x:c r="K280" s="141" t="str">
        <x:v>No</x:v>
      </x:c>
    </x:row>
    <x:row r="281">
      <x:c r="A281" s="141" t="str">
        <x:v>PF-0284</x:v>
      </x:c>
      <x:c r="B281" s="141" t="str">
        <x:v>SG-21017062653</x:v>
      </x:c>
      <x:c r="C281" s="141" t="str">
        <x:v>Q4</x:v>
      </x:c>
      <x:c r="D281" s="141" t="str">
        <x:v>Smartwatch Production</x:v>
      </x:c>
      <x:c r="E281" s="141" t="n">
        <x:v>81</x:v>
      </x:c>
      <x:c r="F281" s="141" t="n">
        <x:v>90</x:v>
      </x:c>
      <x:c r="G281" s="141" t="n">
        <x:v>88</x:v>
      </x:c>
      <x:c r="H281" s="141" t="n">
        <x:v>85.6</x:v>
      </x:c>
      <x:c r="I281" s="141" t="str">
        <x:v>Exceeds</x:v>
      </x:c>
      <x:c r="J281" s="141" t="str">
        <x:v>Yes</x:v>
      </x:c>
      <x:c r="K281" s="141" t="str">
        <x:v>Yes</x:v>
      </x:c>
    </x:row>
    <x:row r="282">
      <x:c r="A282" s="141" t="str">
        <x:v>PF-0285</x:v>
      </x:c>
      <x:c r="B282" s="141" t="str">
        <x:v>SG-22027062611</x:v>
      </x:c>
      <x:c r="C282" s="141" t="str">
        <x:v>Q2</x:v>
      </x:c>
      <x:c r="D282" s="141" t="str">
        <x:v>Quality Assurance</x:v>
      </x:c>
      <x:c r="E282" s="141" t="n">
        <x:v>59</x:v>
      </x:c>
      <x:c r="F282" s="141" t="n">
        <x:v>72</x:v>
      </x:c>
      <x:c r="G282" s="141" t="n">
        <x:v>75</x:v>
      </x:c>
      <x:c r="H282" s="141" t="n">
        <x:v>66.8</x:v>
      </x:c>
      <x:c r="I282" s="141" t="str">
        <x:v>Meets</x:v>
      </x:c>
      <x:c r="J282" s="141" t="str">
        <x:v>Yes</x:v>
      </x:c>
      <x:c r="K282" s="141" t="str">
        <x:v>No</x:v>
      </x:c>
    </x:row>
    <x:row r="283">
      <x:c r="A283" s="141" t="str">
        <x:v>PF-0286</x:v>
      </x:c>
      <x:c r="B283" s="141" t="str">
        <x:v>SG-22027062611</x:v>
      </x:c>
      <x:c r="C283" s="141" t="str">
        <x:v>Q3</x:v>
      </x:c>
      <x:c r="D283" s="141" t="str">
        <x:v>Quality Assurance</x:v>
      </x:c>
      <x:c r="E283" s="141" t="n">
        <x:v>91</x:v>
      </x:c>
      <x:c r="F283" s="141" t="n">
        <x:v>80</x:v>
      </x:c>
      <x:c r="G283" s="141" t="n">
        <x:v>84</x:v>
      </x:c>
      <x:c r="H283" s="141" t="n">
        <x:v>85.8</x:v>
      </x:c>
      <x:c r="I283" s="141" t="str">
        <x:v>Exceeds</x:v>
      </x:c>
      <x:c r="J283" s="141" t="str">
        <x:v>Yes</x:v>
      </x:c>
      <x:c r="K283" s="141" t="str">
        <x:v>No</x:v>
      </x:c>
    </x:row>
    <x:row r="284">
      <x:c r="A284" s="141" t="str">
        <x:v>PF-0287</x:v>
      </x:c>
      <x:c r="B284" s="141" t="str">
        <x:v>SG-22027062611</x:v>
      </x:c>
      <x:c r="C284" s="141" t="str">
        <x:v>Q4</x:v>
      </x:c>
      <x:c r="D284" s="141" t="str">
        <x:v>Quality Assurance</x:v>
      </x:c>
      <x:c r="E284" s="141" t="n">
        <x:v>83</x:v>
      </x:c>
      <x:c r="F284" s="141" t="n">
        <x:v>100</x:v>
      </x:c>
      <x:c r="G284" s="141" t="n">
        <x:v>98</x:v>
      </x:c>
      <x:c r="H284" s="141" t="n">
        <x:v>91.9</x:v>
      </x:c>
      <x:c r="I284" s="141" t="str">
        <x:v>Exceptional</x:v>
      </x:c>
      <x:c r="J284" s="141" t="str">
        <x:v>Yes</x:v>
      </x:c>
      <x:c r="K284" s="141" t="str">
        <x:v>Yes</x:v>
      </x:c>
    </x:row>
    <x:row r="285">
      <x:c r="A285" s="141" t="str">
        <x:v>PF-0288</x:v>
      </x:c>
      <x:c r="B285" s="141" t="str">
        <x:v>SG-22024042612</x:v>
      </x:c>
      <x:c r="C285" s="141" t="str">
        <x:v>Q2</x:v>
      </x:c>
      <x:c r="D285" s="141" t="str">
        <x:v>Quality Assurance</x:v>
      </x:c>
      <x:c r="E285" s="141" t="n">
        <x:v>60</x:v>
      </x:c>
      <x:c r="F285" s="141" t="n">
        <x:v>76</x:v>
      </x:c>
      <x:c r="G285" s="141" t="n">
        <x:v>76</x:v>
      </x:c>
      <x:c r="H285" s="141" t="n">
        <x:v>68.8</x:v>
      </x:c>
      <x:c r="I285" s="141" t="str">
        <x:v>Meets</x:v>
      </x:c>
      <x:c r="J285" s="141" t="str">
        <x:v>Yes</x:v>
      </x:c>
      <x:c r="K285" s="141" t="str">
        <x:v>No</x:v>
      </x:c>
    </x:row>
    <x:row r="286">
      <x:c r="A286" s="141" t="str">
        <x:v>PF-0289</x:v>
      </x:c>
      <x:c r="B286" s="141" t="str">
        <x:v>SG-22024042612</x:v>
      </x:c>
      <x:c r="C286" s="141" t="str">
        <x:v>Q3</x:v>
      </x:c>
      <x:c r="D286" s="141" t="str">
        <x:v>Quality Assurance</x:v>
      </x:c>
      <x:c r="E286" s="141" t="n">
        <x:v>78</x:v>
      </x:c>
      <x:c r="F286" s="141" t="n">
        <x:v>69</x:v>
      </x:c>
      <x:c r="G286" s="141" t="n">
        <x:v>92</x:v>
      </x:c>
      <x:c r="H286" s="141" t="n">
        <x:v>77.7</x:v>
      </x:c>
      <x:c r="I286" s="141" t="str">
        <x:v>Meets</x:v>
      </x:c>
      <x:c r="J286" s="141" t="str">
        <x:v>Yes</x:v>
      </x:c>
      <x:c r="K286" s="141" t="str">
        <x:v>Yes</x:v>
      </x:c>
    </x:row>
    <x:row r="287">
      <x:c r="A287" s="141" t="str">
        <x:v>PF-0290</x:v>
      </x:c>
      <x:c r="B287" s="141" t="str">
        <x:v>SG-22024042612</x:v>
      </x:c>
      <x:c r="C287" s="141" t="str">
        <x:v>Q4</x:v>
      </x:c>
      <x:c r="D287" s="141" t="str">
        <x:v>Quality Assurance</x:v>
      </x:c>
      <x:c r="E287" s="141" t="n">
        <x:v>90</x:v>
      </x:c>
      <x:c r="F287" s="141" t="n">
        <x:v>90</x:v>
      </x:c>
      <x:c r="G287" s="141" t="n">
        <x:v>70</x:v>
      </x:c>
      <x:c r="H287" s="141" t="n">
        <x:v>86</x:v>
      </x:c>
      <x:c r="I287" s="141" t="str">
        <x:v>Exceeds</x:v>
      </x:c>
      <x:c r="J287" s="141" t="str">
        <x:v>Yes</x:v>
      </x:c>
      <x:c r="K287" s="141" t="str">
        <x:v>Yes</x:v>
      </x:c>
    </x:row>
    <x:row r="288">
      <x:c r="A288" s="141" t="str">
        <x:v>PF-0291</x:v>
      </x:c>
      <x:c r="B288" s="141" t="str">
        <x:v>SG-22007052613</x:v>
      </x:c>
      <x:c r="C288" s="141" t="str">
        <x:v>Q2</x:v>
      </x:c>
      <x:c r="D288" s="141" t="str">
        <x:v>Quality Assurance</x:v>
      </x:c>
      <x:c r="E288" s="141" t="n">
        <x:v>65</x:v>
      </x:c>
      <x:c r="F288" s="141" t="n">
        <x:v>78</x:v>
      </x:c>
      <x:c r="G288" s="141" t="n">
        <x:v>84</x:v>
      </x:c>
      <x:c r="H288" s="141" t="n">
        <x:v>73.3</x:v>
      </x:c>
      <x:c r="I288" s="141" t="str">
        <x:v>Meets</x:v>
      </x:c>
      <x:c r="J288" s="141" t="str">
        <x:v>Yes</x:v>
      </x:c>
      <x:c r="K288" s="141" t="str">
        <x:v>Yes</x:v>
      </x:c>
    </x:row>
    <x:row r="289">
      <x:c r="A289" s="141" t="str">
        <x:v>PF-0292</x:v>
      </x:c>
      <x:c r="B289" s="141" t="str">
        <x:v>SG-22007052613</x:v>
      </x:c>
      <x:c r="C289" s="141" t="str">
        <x:v>Q3</x:v>
      </x:c>
      <x:c r="D289" s="141" t="str">
        <x:v>Quality Assurance</x:v>
      </x:c>
      <x:c r="E289" s="141" t="n">
        <x:v>75</x:v>
      </x:c>
      <x:c r="F289" s="141" t="n">
        <x:v>79</x:v>
      </x:c>
      <x:c r="G289" s="141" t="n">
        <x:v>79</x:v>
      </x:c>
      <x:c r="H289" s="141" t="n">
        <x:v>77.2</x:v>
      </x:c>
      <x:c r="I289" s="141" t="str">
        <x:v>Meets</x:v>
      </x:c>
      <x:c r="J289" s="141" t="str">
        <x:v>Yes</x:v>
      </x:c>
      <x:c r="K289" s="141" t="str">
        <x:v>Yes</x:v>
      </x:c>
    </x:row>
    <x:row r="290">
      <x:c r="A290" s="141" t="str">
        <x:v>PF-0293</x:v>
      </x:c>
      <x:c r="B290" s="141" t="str">
        <x:v>SG-22007052613</x:v>
      </x:c>
      <x:c r="C290" s="141" t="str">
        <x:v>Q4</x:v>
      </x:c>
      <x:c r="D290" s="141" t="str">
        <x:v>Quality Assurance</x:v>
      </x:c>
      <x:c r="E290" s="141" t="n">
        <x:v>83</x:v>
      </x:c>
      <x:c r="F290" s="141" t="n">
        <x:v>93</x:v>
      </x:c>
      <x:c r="G290" s="141" t="n">
        <x:v>95</x:v>
      </x:c>
      <x:c r="H290" s="141" t="n">
        <x:v>88.9</x:v>
      </x:c>
      <x:c r="I290" s="141" t="str">
        <x:v>Exceeds</x:v>
      </x:c>
      <x:c r="J290" s="141" t="str">
        <x:v>Yes</x:v>
      </x:c>
      <x:c r="K290" s="141" t="str">
        <x:v>Yes</x:v>
      </x:c>
    </x:row>
    <x:row r="291">
      <x:c r="A291" s="141" t="str">
        <x:v>PF-0294</x:v>
      </x:c>
      <x:c r="B291" s="141" t="str">
        <x:v>SG-23020062609</x:v>
      </x:c>
      <x:c r="C291" s="141" t="str">
        <x:v>Q2</x:v>
      </x:c>
      <x:c r="D291" s="141" t="str">
        <x:v>Engineering and Maintenance</x:v>
      </x:c>
      <x:c r="E291" s="141" t="n">
        <x:v>74</x:v>
      </x:c>
      <x:c r="F291" s="141" t="n">
        <x:v>62</x:v>
      </x:c>
      <x:c r="G291" s="141" t="n">
        <x:v>68</x:v>
      </x:c>
      <x:c r="H291" s="141" t="n">
        <x:v>68.6</x:v>
      </x:c>
      <x:c r="I291" s="141" t="str">
        <x:v>Meets</x:v>
      </x:c>
      <x:c r="J291" s="141" t="str">
        <x:v>Yes</x:v>
      </x:c>
      <x:c r="K291" s="141" t="str">
        <x:v>No</x:v>
      </x:c>
    </x:row>
    <x:row r="292">
      <x:c r="A292" s="141" t="str">
        <x:v>PF-0295</x:v>
      </x:c>
      <x:c r="B292" s="141" t="str">
        <x:v>SG-23020062609</x:v>
      </x:c>
      <x:c r="C292" s="141" t="str">
        <x:v>Q3</x:v>
      </x:c>
      <x:c r="D292" s="141" t="str">
        <x:v>Engineering and Maintenance</x:v>
      </x:c>
      <x:c r="E292" s="141" t="n">
        <x:v>66</x:v>
      </x:c>
      <x:c r="F292" s="141" t="n">
        <x:v>58</x:v>
      </x:c>
      <x:c r="G292" s="141" t="n">
        <x:v>74</x:v>
      </x:c>
      <x:c r="H292" s="141" t="n">
        <x:v>64.8</x:v>
      </x:c>
      <x:c r="I292" s="141" t="str">
        <x:v>Needs Improvement</x:v>
      </x:c>
      <x:c r="J292" s="141" t="str">
        <x:v>Yes</x:v>
      </x:c>
      <x:c r="K292" s="141" t="str">
        <x:v>Yes</x:v>
      </x:c>
    </x:row>
    <x:row r="293">
      <x:c r="A293" s="141" t="str">
        <x:v>PF-0296</x:v>
      </x:c>
      <x:c r="B293" s="141" t="str">
        <x:v>SG-23020062609</x:v>
      </x:c>
      <x:c r="C293" s="141" t="str">
        <x:v>Q4</x:v>
      </x:c>
      <x:c r="D293" s="141" t="str">
        <x:v>Engineering and Maintenance</x:v>
      </x:c>
      <x:c r="E293" s="141" t="n">
        <x:v>100</x:v>
      </x:c>
      <x:c r="F293" s="141" t="n">
        <x:v>100</x:v>
      </x:c>
      <x:c r="G293" s="141" t="n">
        <x:v>78</x:v>
      </x:c>
      <x:c r="H293" s="141" t="n">
        <x:v>95.6</x:v>
      </x:c>
      <x:c r="I293" s="141" t="str">
        <x:v>Exceptional</x:v>
      </x:c>
      <x:c r="J293" s="141" t="str">
        <x:v>Yes</x:v>
      </x:c>
      <x:c r="K293" s="141" t="str">
        <x:v>No</x:v>
      </x:c>
    </x:row>
    <x:row r="294">
      <x:c r="A294" s="141" t="str">
        <x:v>PF-0297</x:v>
      </x:c>
      <x:c r="B294" s="141" t="str">
        <x:v>SG-23003042610</x:v>
      </x:c>
      <x:c r="C294" s="141" t="str">
        <x:v>Q2</x:v>
      </x:c>
      <x:c r="D294" s="141" t="str">
        <x:v>Engineering and Maintenance</x:v>
      </x:c>
      <x:c r="E294" s="141" t="n">
        <x:v>61</x:v>
      </x:c>
      <x:c r="F294" s="141" t="n">
        <x:v>75</x:v>
      </x:c>
      <x:c r="G294" s="141" t="n">
        <x:v>70</x:v>
      </x:c>
      <x:c r="H294" s="141" t="n">
        <x:v>67.7</x:v>
      </x:c>
      <x:c r="I294" s="141" t="str">
        <x:v>Meets</x:v>
      </x:c>
      <x:c r="J294" s="141" t="str">
        <x:v>No</x:v>
      </x:c>
      <x:c r="K294" s="141" t="str">
        <x:v>No</x:v>
      </x:c>
    </x:row>
    <x:row r="295">
      <x:c r="A295" s="141" t="str">
        <x:v>PF-0298</x:v>
      </x:c>
      <x:c r="B295" s="141" t="str">
        <x:v>SG-23003042610</x:v>
      </x:c>
      <x:c r="C295" s="141" t="str">
        <x:v>Q3</x:v>
      </x:c>
      <x:c r="D295" s="141" t="str">
        <x:v>Engineering and Maintenance</x:v>
      </x:c>
      <x:c r="E295" s="141" t="n">
        <x:v>69</x:v>
      </x:c>
      <x:c r="F295" s="141" t="n">
        <x:v>87</x:v>
      </x:c>
      <x:c r="G295" s="141" t="n">
        <x:v>89</x:v>
      </x:c>
      <x:c r="H295" s="141" t="n">
        <x:v>79.3</x:v>
      </x:c>
      <x:c r="I295" s="141" t="str">
        <x:v>Meets</x:v>
      </x:c>
      <x:c r="J295" s="141" t="str">
        <x:v>Yes</x:v>
      </x:c>
      <x:c r="K295" s="141" t="str">
        <x:v>Yes</x:v>
      </x:c>
    </x:row>
    <x:row r="296">
      <x:c r="A296" s="141" t="str">
        <x:v>PF-0299</x:v>
      </x:c>
      <x:c r="B296" s="141" t="str">
        <x:v>SG-23003042610</x:v>
      </x:c>
      <x:c r="C296" s="141" t="str">
        <x:v>Q4</x:v>
      </x:c>
      <x:c r="D296" s="141" t="str">
        <x:v>Engineering and Maintenance</x:v>
      </x:c>
      <x:c r="E296" s="141" t="n">
        <x:v>95</x:v>
      </x:c>
      <x:c r="F296" s="141" t="n">
        <x:v>57</x:v>
      </x:c>
      <x:c r="G296" s="141" t="n">
        <x:v>91</x:v>
      </x:c>
      <x:c r="H296" s="141" t="n">
        <x:v>80.9</x:v>
      </x:c>
      <x:c r="I296" s="141" t="str">
        <x:v>Exceeds</x:v>
      </x:c>
      <x:c r="J296" s="141" t="str">
        <x:v>Yes</x:v>
      </x:c>
      <x:c r="K296" s="141" t="str">
        <x:v>No</x:v>
      </x:c>
    </x:row>
    <x:row r="297">
      <x:c r="A297" s="141" t="str">
        <x:v>PF-0300</x:v>
      </x:c>
      <x:c r="B297" s="141" t="str">
        <x:v>SG-24005052608</x:v>
      </x:c>
      <x:c r="C297" s="141" t="str">
        <x:v>Q2</x:v>
      </x:c>
      <x:c r="D297" s="141" t="str">
        <x:v>Research and Development</x:v>
      </x:c>
      <x:c r="E297" s="141" t="n">
        <x:v>73</x:v>
      </x:c>
      <x:c r="F297" s="141" t="n">
        <x:v>60</x:v>
      </x:c>
      <x:c r="G297" s="141" t="n">
        <x:v>73</x:v>
      </x:c>
      <x:c r="H297" s="141" t="n">
        <x:v>68.5</x:v>
      </x:c>
      <x:c r="I297" s="141" t="str">
        <x:v>Meets</x:v>
      </x:c>
      <x:c r="J297" s="141" t="str">
        <x:v>Yes</x:v>
      </x:c>
      <x:c r="K297" s="141" t="str">
        <x:v>Yes</x:v>
      </x:c>
    </x:row>
    <x:row r="298">
      <x:c r="A298" s="141" t="str">
        <x:v>PF-0301</x:v>
      </x:c>
      <x:c r="B298" s="141" t="str">
        <x:v>SG-24005052608</x:v>
      </x:c>
      <x:c r="C298" s="141" t="str">
        <x:v>Q3</x:v>
      </x:c>
      <x:c r="D298" s="141" t="str">
        <x:v>Research and Development</x:v>
      </x:c>
      <x:c r="E298" s="141" t="n">
        <x:v>93</x:v>
      </x:c>
      <x:c r="F298" s="141" t="n">
        <x:v>72</x:v>
      </x:c>
      <x:c r="G298" s="141" t="n">
        <x:v>84</x:v>
      </x:c>
      <x:c r="H298" s="141" t="n">
        <x:v>83.8</x:v>
      </x:c>
      <x:c r="I298" s="141" t="str">
        <x:v>Exceeds</x:v>
      </x:c>
      <x:c r="J298" s="141" t="str">
        <x:v>Yes</x:v>
      </x:c>
      <x:c r="K298" s="141" t="str">
        <x:v>Yes</x:v>
      </x:c>
    </x:row>
    <x:row r="299">
      <x:c r="A299" s="141" t="str">
        <x:v>PF-0302</x:v>
      </x:c>
      <x:c r="B299" s="141" t="str">
        <x:v>SG-24005052608</x:v>
      </x:c>
      <x:c r="C299" s="141" t="str">
        <x:v>Q4</x:v>
      </x:c>
      <x:c r="D299" s="141" t="str">
        <x:v>Research and Development</x:v>
      </x:c>
      <x:c r="E299" s="141" t="n">
        <x:v>86</x:v>
      </x:c>
      <x:c r="F299" s="141" t="n">
        <x:v>84</x:v>
      </x:c>
      <x:c r="G299" s="141" t="n">
        <x:v>79</x:v>
      </x:c>
      <x:c r="H299" s="141" t="n">
        <x:v>83.9</x:v>
      </x:c>
      <x:c r="I299" s="141" t="str">
        <x:v>Exceeds</x:v>
      </x:c>
      <x:c r="J299" s="141" t="str">
        <x:v>Yes</x:v>
      </x:c>
      <x:c r="K299" s="141" t="str">
        <x:v>Yes</x:v>
      </x:c>
    </x:row>
    <x:row r="300">
      <x:c r="A300" s="141" t="str">
        <x:v>PF-0303</x:v>
      </x:c>
      <x:c r="B300" s="141" t="str">
        <x:v>SG-24027062609</x:v>
      </x:c>
      <x:c r="C300" s="141" t="str">
        <x:v>Q2</x:v>
      </x:c>
      <x:c r="D300" s="141" t="str">
        <x:v>Research and Development</x:v>
      </x:c>
      <x:c r="E300" s="141" t="n">
        <x:v>74</x:v>
      </x:c>
      <x:c r="F300" s="141" t="n">
        <x:v>64</x:v>
      </x:c>
      <x:c r="G300" s="141" t="n">
        <x:v>62</x:v>
      </x:c>
      <x:c r="H300" s="141" t="n">
        <x:v>68.1</x:v>
      </x:c>
      <x:c r="I300" s="141" t="str">
        <x:v>Meets</x:v>
      </x:c>
      <x:c r="J300" s="141" t="str">
        <x:v>Yes</x:v>
      </x:c>
      <x:c r="K300" s="141" t="str">
        <x:v>Yes</x:v>
      </x:c>
    </x:row>
    <x:row r="301">
      <x:c r="A301" s="141" t="str">
        <x:v>PF-0304</x:v>
      </x:c>
      <x:c r="B301" s="141" t="str">
        <x:v>SG-24027062609</x:v>
      </x:c>
      <x:c r="C301" s="141" t="str">
        <x:v>Q3</x:v>
      </x:c>
      <x:c r="D301" s="141" t="str">
        <x:v>Research and Development</x:v>
      </x:c>
      <x:c r="E301" s="141" t="n">
        <x:v>71</x:v>
      </x:c>
      <x:c r="F301" s="141" t="n">
        <x:v>67</x:v>
      </x:c>
      <x:c r="G301" s="141" t="n">
        <x:v>90</x:v>
      </x:c>
      <x:c r="H301" s="141" t="n">
        <x:v>73.4</x:v>
      </x:c>
      <x:c r="I301" s="141" t="str">
        <x:v>Meets</x:v>
      </x:c>
      <x:c r="J301" s="141" t="str">
        <x:v>Yes</x:v>
      </x:c>
      <x:c r="K301" s="141" t="str">
        <x:v>Yes</x:v>
      </x:c>
    </x:row>
    <x:row r="302">
      <x:c r="A302" s="141" t="str">
        <x:v>PF-0305</x:v>
      </x:c>
      <x:c r="B302" s="141" t="str">
        <x:v>SG-24027062609</x:v>
      </x:c>
      <x:c r="C302" s="141" t="str">
        <x:v>Q4</x:v>
      </x:c>
      <x:c r="D302" s="141" t="str">
        <x:v>Research and Development</x:v>
      </x:c>
      <x:c r="E302" s="141" t="n">
        <x:v>86</x:v>
      </x:c>
      <x:c r="F302" s="141" t="n">
        <x:v>92</x:v>
      </x:c>
      <x:c r="G302" s="141" t="n">
        <x:v>83</x:v>
      </x:c>
      <x:c r="H302" s="141" t="n">
        <x:v>87.5</x:v>
      </x:c>
      <x:c r="I302" s="141" t="str">
        <x:v>Exceeds</x:v>
      </x:c>
      <x:c r="J302" s="141" t="str">
        <x:v>Yes</x:v>
      </x:c>
      <x:c r="K302" s="141" t="str">
        <x:v>No</x:v>
      </x:c>
    </x:row>
    <x:row r="303">
      <x:c r="A303" s="141" t="str">
        <x:v>PF-0306</x:v>
      </x:c>
      <x:c r="B303" s="141" t="str">
        <x:v>SG-28021062605</x:v>
      </x:c>
      <x:c r="C303" s="141" t="str">
        <x:v>Q2</x:v>
      </x:c>
      <x:c r="D303" s="141" t="str">
        <x:v>IT Data and HRIS</x:v>
      </x:c>
      <x:c r="E303" s="141" t="n">
        <x:v>72</x:v>
      </x:c>
      <x:c r="F303" s="141" t="n">
        <x:v>70</x:v>
      </x:c>
      <x:c r="G303" s="141" t="n">
        <x:v>74</x:v>
      </x:c>
      <x:c r="H303" s="141" t="n">
        <x:v>71.7</x:v>
      </x:c>
      <x:c r="I303" s="141" t="str">
        <x:v>Meets</x:v>
      </x:c>
      <x:c r="J303" s="141" t="str">
        <x:v>Yes</x:v>
      </x:c>
      <x:c r="K303" s="141" t="str">
        <x:v>No</x:v>
      </x:c>
    </x:row>
    <x:row r="304">
      <x:c r="A304" s="141" t="str">
        <x:v>PF-0307</x:v>
      </x:c>
      <x:c r="B304" s="141" t="str">
        <x:v>SG-28021062605</x:v>
      </x:c>
      <x:c r="C304" s="141" t="str">
        <x:v>Q3</x:v>
      </x:c>
      <x:c r="D304" s="141" t="str">
        <x:v>IT Data and HRIS</x:v>
      </x:c>
      <x:c r="E304" s="141" t="n">
        <x:v>78</x:v>
      </x:c>
      <x:c r="F304" s="141" t="n">
        <x:v>69</x:v>
      </x:c>
      <x:c r="G304" s="141" t="n">
        <x:v>89</x:v>
      </x:c>
      <x:c r="H304" s="141" t="n">
        <x:v>77</x:v>
      </x:c>
      <x:c r="I304" s="141" t="str">
        <x:v>Meets</x:v>
      </x:c>
      <x:c r="J304" s="141" t="str">
        <x:v>Yes</x:v>
      </x:c>
      <x:c r="K304" s="141" t="str">
        <x:v>Yes</x:v>
      </x:c>
    </x:row>
    <x:row r="305">
      <x:c r="A305" s="141" t="str">
        <x:v>PF-0308</x:v>
      </x:c>
      <x:c r="B305" s="141" t="str">
        <x:v>SG-28021062605</x:v>
      </x:c>
      <x:c r="C305" s="141" t="str">
        <x:v>Q4</x:v>
      </x:c>
      <x:c r="D305" s="141" t="str">
        <x:v>IT Data and HRIS</x:v>
      </x:c>
      <x:c r="E305" s="141" t="n">
        <x:v>86</x:v>
      </x:c>
      <x:c r="F305" s="141" t="n">
        <x:v>100</x:v>
      </x:c>
      <x:c r="G305" s="141" t="n">
        <x:v>88</x:v>
      </x:c>
      <x:c r="H305" s="141" t="n">
        <x:v>91.3</x:v>
      </x:c>
      <x:c r="I305" s="141" t="str">
        <x:v>Exceptional</x:v>
      </x:c>
      <x:c r="J305" s="141" t="str">
        <x:v>Yes</x:v>
      </x:c>
      <x:c r="K305" s="141" t="str">
        <x:v>No</x:v>
      </x:c>
    </x:row>
    <x:row r="306">
      <x:c r="A306" s="141" t="str">
        <x:v>PF-0309</x:v>
      </x:c>
      <x:c r="B306" s="141" t="str">
        <x:v>SG-28019062606</x:v>
      </x:c>
      <x:c r="C306" s="141" t="str">
        <x:v>Q2</x:v>
      </x:c>
      <x:c r="D306" s="141" t="str">
        <x:v>IT Data and HRIS</x:v>
      </x:c>
      <x:c r="E306" s="141" t="n">
        <x:v>62</x:v>
      </x:c>
      <x:c r="F306" s="141" t="n">
        <x:v>67</x:v>
      </x:c>
      <x:c r="G306" s="141" t="n">
        <x:v>74</x:v>
      </x:c>
      <x:c r="H306" s="141" t="n">
        <x:v>66.2</x:v>
      </x:c>
      <x:c r="I306" s="141" t="str">
        <x:v>Meets</x:v>
      </x:c>
      <x:c r="J306" s="141" t="str">
        <x:v>Yes</x:v>
      </x:c>
      <x:c r="K306" s="141" t="str">
        <x:v>Yes</x:v>
      </x:c>
    </x:row>
    <x:row r="307">
      <x:c r="A307" s="141" t="str">
        <x:v>PF-0310</x:v>
      </x:c>
      <x:c r="B307" s="141" t="str">
        <x:v>SG-28019062606</x:v>
      </x:c>
      <x:c r="C307" s="141" t="str">
        <x:v>Q3</x:v>
      </x:c>
      <x:c r="D307" s="141" t="str">
        <x:v>IT Data and HRIS</x:v>
      </x:c>
      <x:c r="E307" s="141" t="n">
        <x:v>76</x:v>
      </x:c>
      <x:c r="F307" s="141" t="n">
        <x:v>71</x:v>
      </x:c>
      <x:c r="G307" s="141" t="n">
        <x:v>95</x:v>
      </x:c>
      <x:c r="H307" s="141" t="n">
        <x:v>78</x:v>
      </x:c>
      <x:c r="I307" s="141" t="str">
        <x:v>Meets</x:v>
      </x:c>
      <x:c r="J307" s="141" t="str">
        <x:v>Yes</x:v>
      </x:c>
      <x:c r="K307" s="141" t="str">
        <x:v>Yes</x:v>
      </x:c>
    </x:row>
    <x:row r="308">
      <x:c r="A308" s="141" t="str">
        <x:v>PF-0311</x:v>
      </x:c>
      <x:c r="B308" s="141" t="str">
        <x:v>SG-28019062606</x:v>
      </x:c>
      <x:c r="C308" s="141" t="str">
        <x:v>Q4</x:v>
      </x:c>
      <x:c r="D308" s="141" t="str">
        <x:v>IT Data and HRIS</x:v>
      </x:c>
      <x:c r="E308" s="141" t="n">
        <x:v>82</x:v>
      </x:c>
      <x:c r="F308" s="141" t="n">
        <x:v>92</x:v>
      </x:c>
      <x:c r="G308" s="141" t="n">
        <x:v>90</x:v>
      </x:c>
      <x:c r="H308" s="141" t="n">
        <x:v>87.1</x:v>
      </x:c>
      <x:c r="I308" s="141" t="str">
        <x:v>Exceeds</x:v>
      </x:c>
      <x:c r="J308" s="141" t="str">
        <x:v>Yes</x:v>
      </x:c>
      <x:c r="K308" s="141" t="str">
        <x:v>Yes</x:v>
      </x:c>
    </x:row>
    <x:row r="309">
      <x:c r="A309" s="141" t="str">
        <x:v>PF-0312</x:v>
      </x:c>
      <x:c r="B309" s="141" t="str">
        <x:v>SG-12727052607</x:v>
      </x:c>
      <x:c r="C309" s="141" t="str">
        <x:v>Q2</x:v>
      </x:c>
      <x:c r="D309" s="141" t="str">
        <x:v>Human Resources and People</x:v>
      </x:c>
      <x:c r="E309" s="141" t="n">
        <x:v>73</x:v>
      </x:c>
      <x:c r="F309" s="141" t="n">
        <x:v>67</x:v>
      </x:c>
      <x:c r="G309" s="141" t="n">
        <x:v>64</x:v>
      </x:c>
      <x:c r="H309" s="141" t="n">
        <x:v>69.1</x:v>
      </x:c>
      <x:c r="I309" s="141" t="str">
        <x:v>Meets</x:v>
      </x:c>
      <x:c r="J309" s="141" t="str">
        <x:v>No</x:v>
      </x:c>
      <x:c r="K309" s="141" t="str">
        <x:v>No</x:v>
      </x:c>
    </x:row>
    <x:row r="310">
      <x:c r="A310" s="141" t="str">
        <x:v>PF-0313</x:v>
      </x:c>
      <x:c r="B310" s="141" t="str">
        <x:v>SG-12727052607</x:v>
      </x:c>
      <x:c r="C310" s="141" t="str">
        <x:v>Q3</x:v>
      </x:c>
      <x:c r="D310" s="141" t="str">
        <x:v>Human Resources and People</x:v>
      </x:c>
      <x:c r="E310" s="141" t="n">
        <x:v>95</x:v>
      </x:c>
      <x:c r="F310" s="141" t="n">
        <x:v>85</x:v>
      </x:c>
      <x:c r="G310" s="141" t="n">
        <x:v>83</x:v>
      </x:c>
      <x:c r="H310" s="141" t="n">
        <x:v>89.1</x:v>
      </x:c>
      <x:c r="I310" s="141" t="str">
        <x:v>Exceeds</x:v>
      </x:c>
      <x:c r="J310" s="141" t="str">
        <x:v>Yes</x:v>
      </x:c>
      <x:c r="K310" s="141" t="str">
        <x:v>Yes</x:v>
      </x:c>
    </x:row>
    <x:row r="311">
      <x:c r="A311" s="141" t="str">
        <x:v>PF-0314</x:v>
      </x:c>
      <x:c r="B311" s="141" t="str">
        <x:v>SG-12727052607</x:v>
      </x:c>
      <x:c r="C311" s="141" t="str">
        <x:v>Q4</x:v>
      </x:c>
      <x:c r="D311" s="141" t="str">
        <x:v>Human Resources and People</x:v>
      </x:c>
      <x:c r="E311" s="141" t="n">
        <x:v>98</x:v>
      </x:c>
      <x:c r="F311" s="141" t="n">
        <x:v>100</x:v>
      </x:c>
      <x:c r="G311" s="141" t="n">
        <x:v>98</x:v>
      </x:c>
      <x:c r="H311" s="141" t="n">
        <x:v>98.7</x:v>
      </x:c>
      <x:c r="I311" s="141" t="str">
        <x:v>Exceptional</x:v>
      </x:c>
      <x:c r="J311" s="141" t="str">
        <x:v>Yes</x:v>
      </x:c>
      <x:c r="K311" s="141" t="str">
        <x:v>Yes</x:v>
      </x:c>
    </x:row>
    <x:row r="312">
      <x:c r="A312" s="141" t="str">
        <x:v>PF-0315</x:v>
      </x:c>
      <x:c r="B312" s="141" t="str">
        <x:v>SG-25010042607</x:v>
      </x:c>
      <x:c r="C312" s="141" t="str">
        <x:v>Q2</x:v>
      </x:c>
      <x:c r="D312" s="141" t="str">
        <x:v>Supply Chain and Planning</x:v>
      </x:c>
      <x:c r="E312" s="141" t="n">
        <x:v>54</x:v>
      </x:c>
      <x:c r="F312" s="141" t="n">
        <x:v>52</x:v>
      </x:c>
      <x:c r="G312" s="141" t="n">
        <x:v>77</x:v>
      </x:c>
      <x:c r="H312" s="141" t="n">
        <x:v>57.9</x:v>
      </x:c>
      <x:c r="I312" s="141" t="str">
        <x:v>Needs Improvement</x:v>
      </x:c>
      <x:c r="J312" s="141" t="str">
        <x:v>Yes</x:v>
      </x:c>
      <x:c r="K312" s="141" t="str">
        <x:v>No</x:v>
      </x:c>
    </x:row>
    <x:row r="313">
      <x:c r="A313" s="141" t="str">
        <x:v>PF-0316</x:v>
      </x:c>
      <x:c r="B313" s="141" t="str">
        <x:v>SG-25010042607</x:v>
      </x:c>
      <x:c r="C313" s="141" t="str">
        <x:v>Q3</x:v>
      </x:c>
      <x:c r="D313" s="141" t="str">
        <x:v>Supply Chain and Planning</x:v>
      </x:c>
      <x:c r="E313" s="141" t="n">
        <x:v>66</x:v>
      </x:c>
      <x:c r="F313" s="141" t="n">
        <x:v>70</x:v>
      </x:c>
      <x:c r="G313" s="141" t="n">
        <x:v>82</x:v>
      </x:c>
      <x:c r="H313" s="141" t="n">
        <x:v>70.6</x:v>
      </x:c>
      <x:c r="I313" s="141" t="str">
        <x:v>Meets</x:v>
      </x:c>
      <x:c r="J313" s="141" t="str">
        <x:v>No</x:v>
      </x:c>
      <x:c r="K313" s="141" t="str">
        <x:v>Yes</x:v>
      </x:c>
    </x:row>
    <x:row r="314">
      <x:c r="A314" s="141" t="str">
        <x:v>PF-0317</x:v>
      </x:c>
      <x:c r="B314" s="141" t="str">
        <x:v>SG-25010042607</x:v>
      </x:c>
      <x:c r="C314" s="141" t="str">
        <x:v>Q4</x:v>
      </x:c>
      <x:c r="D314" s="141" t="str">
        <x:v>Supply Chain and Planning</x:v>
      </x:c>
      <x:c r="E314" s="141" t="n">
        <x:v>76</x:v>
      </x:c>
      <x:c r="F314" s="141" t="n">
        <x:v>73</x:v>
      </x:c>
      <x:c r="G314" s="141" t="n">
        <x:v>82</x:v>
      </x:c>
      <x:c r="H314" s="141" t="n">
        <x:v>76.2</x:v>
      </x:c>
      <x:c r="I314" s="141" t="str">
        <x:v>Meets</x:v>
      </x:c>
      <x:c r="J314" s="141" t="str">
        <x:v>Yes</x:v>
      </x:c>
      <x:c r="K314" s="141" t="str">
        <x:v>Yes</x:v>
      </x:c>
    </x:row>
    <x:row r="315">
      <x:c r="A315" s="141" t="str">
        <x:v>PF-0318</x:v>
      </x:c>
      <x:c r="B315" s="141" t="str">
        <x:v>SG-30023052603</x:v>
      </x:c>
      <x:c r="C315" s="141" t="str">
        <x:v>Q2</x:v>
      </x:c>
      <x:c r="D315" s="141" t="str">
        <x:v>EHS and Regulatory Compliance</x:v>
      </x:c>
      <x:c r="E315" s="141" t="n">
        <x:v>78</x:v>
      </x:c>
      <x:c r="F315" s="141" t="n">
        <x:v>66</x:v>
      </x:c>
      <x:c r="G315" s="141" t="n">
        <x:v>78</x:v>
      </x:c>
      <x:c r="H315" s="141" t="n">
        <x:v>73.8</x:v>
      </x:c>
      <x:c r="I315" s="141" t="str">
        <x:v>Meets</x:v>
      </x:c>
      <x:c r="J315" s="141" t="str">
        <x:v>No</x:v>
      </x:c>
      <x:c r="K315" s="141" t="str">
        <x:v>No</x:v>
      </x:c>
    </x:row>
    <x:row r="316">
      <x:c r="A316" s="141" t="str">
        <x:v>PF-0319</x:v>
      </x:c>
      <x:c r="B316" s="141" t="str">
        <x:v>SG-30023052603</x:v>
      </x:c>
      <x:c r="C316" s="141" t="str">
        <x:v>Q3</x:v>
      </x:c>
      <x:c r="D316" s="141" t="str">
        <x:v>EHS and Regulatory Compliance</x:v>
      </x:c>
      <x:c r="E316" s="141" t="n">
        <x:v>54</x:v>
      </x:c>
      <x:c r="F316" s="141" t="n">
        <x:v>75</x:v>
      </x:c>
      <x:c r="G316" s="141" t="n">
        <x:v>90</x:v>
      </x:c>
      <x:c r="H316" s="141" t="n">
        <x:v>68.5</x:v>
      </x:c>
      <x:c r="I316" s="141" t="str">
        <x:v>Meets</x:v>
      </x:c>
      <x:c r="J316" s="141" t="str">
        <x:v>Yes</x:v>
      </x:c>
      <x:c r="K316" s="141" t="str">
        <x:v>Yes</x:v>
      </x:c>
    </x:row>
    <x:row r="317">
      <x:c r="A317" s="141" t="str">
        <x:v>PF-0320</x:v>
      </x:c>
      <x:c r="B317" s="141" t="str">
        <x:v>SG-30023052603</x:v>
      </x:c>
      <x:c r="C317" s="141" t="str">
        <x:v>Q4</x:v>
      </x:c>
      <x:c r="D317" s="141" t="str">
        <x:v>EHS and Regulatory Compliance</x:v>
      </x:c>
      <x:c r="E317" s="141" t="n">
        <x:v>77</x:v>
      </x:c>
      <x:c r="F317" s="141" t="n">
        <x:v>81</x:v>
      </x:c>
      <x:c r="G317" s="141" t="n">
        <x:v>87</x:v>
      </x:c>
      <x:c r="H317" s="141" t="n">
        <x:v>80.4</x:v>
      </x:c>
      <x:c r="I317" s="141" t="str">
        <x:v>Exceeds</x:v>
      </x:c>
      <x:c r="J317" s="141" t="str">
        <x:v>Yes</x:v>
      </x:c>
      <x:c r="K317" s="141" t="str">
        <x:v>No</x:v>
      </x:c>
    </x:row>
    <x:row r="318">
      <x:c r="A318" s="141" t="str">
        <x:v>PF-0321</x:v>
      </x:c>
      <x:c r="B318" s="141" t="str">
        <x:v>SG-21028082654</x:v>
      </x:c>
      <x:c r="C318" s="141" t="str">
        <x:v>Q3</x:v>
      </x:c>
      <x:c r="D318" s="141" t="str">
        <x:v>Smartwatch Production</x:v>
      </x:c>
      <x:c r="E318" s="141" t="n">
        <x:v>60</x:v>
      </x:c>
      <x:c r="F318" s="141" t="n">
        <x:v>89</x:v>
      </x:c>
      <x:c r="G318" s="141" t="n">
        <x:v>82</x:v>
      </x:c>
      <x:c r="H318" s="141" t="n">
        <x:v>74.5</x:v>
      </x:c>
      <x:c r="I318" s="141" t="str">
        <x:v>Meets</x:v>
      </x:c>
      <x:c r="J318" s="141" t="str">
        <x:v>Yes</x:v>
      </x:c>
      <x:c r="K318" s="141" t="str">
        <x:v>Yes</x:v>
      </x:c>
    </x:row>
    <x:row r="319">
      <x:c r="A319" s="141" t="str">
        <x:v>PF-0322</x:v>
      </x:c>
      <x:c r="B319" s="141" t="str">
        <x:v>SG-21028082654</x:v>
      </x:c>
      <x:c r="C319" s="141" t="str">
        <x:v>Q4</x:v>
      </x:c>
      <x:c r="D319" s="141" t="str">
        <x:v>Smartwatch Production</x:v>
      </x:c>
      <x:c r="E319" s="141" t="n">
        <x:v>82</x:v>
      </x:c>
      <x:c r="F319" s="141" t="n">
        <x:v>87</x:v>
      </x:c>
      <x:c r="G319" s="141" t="n">
        <x:v>93</x:v>
      </x:c>
      <x:c r="H319" s="141" t="n">
        <x:v>85.9</x:v>
      </x:c>
      <x:c r="I319" s="141" t="str">
        <x:v>Exceeds</x:v>
      </x:c>
      <x:c r="J319" s="141" t="str">
        <x:v>Yes</x:v>
      </x:c>
      <x:c r="K319" s="141" t="str">
        <x:v>No</x:v>
      </x:c>
    </x:row>
    <x:row r="320">
      <x:c r="A320" s="141" t="str">
        <x:v>PF-0323</x:v>
      </x:c>
      <x:c r="B320" s="141" t="str">
        <x:v>SG-21001092655</x:v>
      </x:c>
      <x:c r="C320" s="141" t="str">
        <x:v>Q3</x:v>
      </x:c>
      <x:c r="D320" s="141" t="str">
        <x:v>Smartwatch Production</x:v>
      </x:c>
      <x:c r="E320" s="141" t="n">
        <x:v>100</x:v>
      </x:c>
      <x:c r="F320" s="141" t="n">
        <x:v>68</x:v>
      </x:c>
      <x:c r="G320" s="141" t="n">
        <x:v>66</x:v>
      </x:c>
      <x:c r="H320" s="141" t="n">
        <x:v>82</x:v>
      </x:c>
      <x:c r="I320" s="141" t="str">
        <x:v>Exceeds</x:v>
      </x:c>
      <x:c r="J320" s="141" t="str">
        <x:v>Yes</x:v>
      </x:c>
      <x:c r="K320" s="141" t="str">
        <x:v>No</x:v>
      </x:c>
    </x:row>
    <x:row r="321">
      <x:c r="A321" s="141" t="str">
        <x:v>PF-0324</x:v>
      </x:c>
      <x:c r="B321" s="141" t="str">
        <x:v>SG-21001092655</x:v>
      </x:c>
      <x:c r="C321" s="141" t="str">
        <x:v>Q4</x:v>
      </x:c>
      <x:c r="D321" s="141" t="str">
        <x:v>Smartwatch Production</x:v>
      </x:c>
      <x:c r="E321" s="141" t="n">
        <x:v>88</x:v>
      </x:c>
      <x:c r="F321" s="141" t="n">
        <x:v>100</x:v>
      </x:c>
      <x:c r="G321" s="141" t="n">
        <x:v>92</x:v>
      </x:c>
      <x:c r="H321" s="141" t="n">
        <x:v>93</x:v>
      </x:c>
      <x:c r="I321" s="141" t="str">
        <x:v>Exceptional</x:v>
      </x:c>
      <x:c r="J321" s="141" t="str">
        <x:v>Yes</x:v>
      </x:c>
      <x:c r="K321" s="141" t="str">
        <x:v>No</x:v>
      </x:c>
    </x:row>
    <x:row r="322">
      <x:c r="A322" s="141" t="str">
        <x:v>PF-0325</x:v>
      </x:c>
      <x:c r="B322" s="141" t="str">
        <x:v>SG-21018072656</x:v>
      </x:c>
      <x:c r="C322" s="141" t="str">
        <x:v>Q3</x:v>
      </x:c>
      <x:c r="D322" s="141" t="str">
        <x:v>Smartwatch Production</x:v>
      </x:c>
      <x:c r="E322" s="141" t="n">
        <x:v>86</x:v>
      </x:c>
      <x:c r="F322" s="141" t="n">
        <x:v>67</x:v>
      </x:c>
      <x:c r="G322" s="141" t="n">
        <x:v>87</x:v>
      </x:c>
      <x:c r="H322" s="141" t="n">
        <x:v>79.6</x:v>
      </x:c>
      <x:c r="I322" s="141" t="str">
        <x:v>Meets</x:v>
      </x:c>
      <x:c r="J322" s="141" t="str">
        <x:v>No</x:v>
      </x:c>
      <x:c r="K322" s="141" t="str">
        <x:v>Yes</x:v>
      </x:c>
    </x:row>
    <x:row r="323">
      <x:c r="A323" s="141" t="str">
        <x:v>PF-0326</x:v>
      </x:c>
      <x:c r="B323" s="141" t="str">
        <x:v>SG-21018072656</x:v>
      </x:c>
      <x:c r="C323" s="141" t="str">
        <x:v>Q4</x:v>
      </x:c>
      <x:c r="D323" s="141" t="str">
        <x:v>Smartwatch Production</x:v>
      </x:c>
      <x:c r="E323" s="141" t="n">
        <x:v>91</x:v>
      </x:c>
      <x:c r="F323" s="141" t="n">
        <x:v>93</x:v>
      </x:c>
      <x:c r="G323" s="141" t="n">
        <x:v>87</x:v>
      </x:c>
      <x:c r="H323" s="141" t="n">
        <x:v>90.9</x:v>
      </x:c>
      <x:c r="I323" s="141" t="str">
        <x:v>Exceptional</x:v>
      </x:c>
      <x:c r="J323" s="141" t="str">
        <x:v>Yes</x:v>
      </x:c>
      <x:c r="K323" s="141" t="str">
        <x:v>No</x:v>
      </x:c>
    </x:row>
    <x:row r="324">
      <x:c r="A324" s="141" t="str">
        <x:v>PF-0327</x:v>
      </x:c>
      <x:c r="B324" s="141" t="str">
        <x:v>SG-21012092657</x:v>
      </x:c>
      <x:c r="C324" s="141" t="str">
        <x:v>Q3</x:v>
      </x:c>
      <x:c r="D324" s="141" t="str">
        <x:v>Smartwatch Production</x:v>
      </x:c>
      <x:c r="E324" s="141" t="n">
        <x:v>66</x:v>
      </x:c>
      <x:c r="F324" s="141" t="n">
        <x:v>81</x:v>
      </x:c>
      <x:c r="G324" s="141" t="n">
        <x:v>82</x:v>
      </x:c>
      <x:c r="H324" s="141" t="n">
        <x:v>74.5</x:v>
      </x:c>
      <x:c r="I324" s="141" t="str">
        <x:v>Meets</x:v>
      </x:c>
      <x:c r="J324" s="141" t="str">
        <x:v>Yes</x:v>
      </x:c>
      <x:c r="K324" s="141" t="str">
        <x:v>Yes</x:v>
      </x:c>
    </x:row>
    <x:row r="325">
      <x:c r="A325" s="141" t="str">
        <x:v>PF-0328</x:v>
      </x:c>
      <x:c r="B325" s="141" t="str">
        <x:v>SG-21012092657</x:v>
      </x:c>
      <x:c r="C325" s="141" t="str">
        <x:v>Q4</x:v>
      </x:c>
      <x:c r="D325" s="141" t="str">
        <x:v>Smartwatch Production</x:v>
      </x:c>
      <x:c r="E325" s="141" t="n">
        <x:v>81</x:v>
      </x:c>
      <x:c r="F325" s="141" t="n">
        <x:v>80</x:v>
      </x:c>
      <x:c r="G325" s="141" t="n">
        <x:v>95</x:v>
      </x:c>
      <x:c r="H325" s="141" t="n">
        <x:v>83.5</x:v>
      </x:c>
      <x:c r="I325" s="141" t="str">
        <x:v>Exceeds</x:v>
      </x:c>
      <x:c r="J325" s="141" t="str">
        <x:v>Yes</x:v>
      </x:c>
      <x:c r="K325" s="141" t="str">
        <x:v>No</x:v>
      </x:c>
    </x:row>
    <x:row r="326">
      <x:c r="A326" s="141" t="str">
        <x:v>PF-0329</x:v>
      </x:c>
      <x:c r="B326" s="141" t="str">
        <x:v>SG-21012092658</x:v>
      </x:c>
      <x:c r="C326" s="141" t="str">
        <x:v>Q3</x:v>
      </x:c>
      <x:c r="D326" s="141" t="str">
        <x:v>Smartwatch Production</x:v>
      </x:c>
      <x:c r="E326" s="141" t="n">
        <x:v>88</x:v>
      </x:c>
      <x:c r="F326" s="141" t="n">
        <x:v>94</x:v>
      </x:c>
      <x:c r="G326" s="141" t="n">
        <x:v>88</x:v>
      </x:c>
      <x:c r="H326" s="141" t="n">
        <x:v>90.1</x:v>
      </x:c>
      <x:c r="I326" s="141" t="str">
        <x:v>Exceptional</x:v>
      </x:c>
      <x:c r="J326" s="141" t="str">
        <x:v>No</x:v>
      </x:c>
      <x:c r="K326" s="141" t="str">
        <x:v>Yes</x:v>
      </x:c>
    </x:row>
    <x:row r="327">
      <x:c r="A327" s="141" t="str">
        <x:v>PF-0330</x:v>
      </x:c>
      <x:c r="B327" s="141" t="str">
        <x:v>SG-21012092658</x:v>
      </x:c>
      <x:c r="C327" s="141" t="str">
        <x:v>Q4</x:v>
      </x:c>
      <x:c r="D327" s="141" t="str">
        <x:v>Smartwatch Production</x:v>
      </x:c>
      <x:c r="E327" s="141" t="n">
        <x:v>97</x:v>
      </x:c>
      <x:c r="F327" s="141" t="n">
        <x:v>100</x:v>
      </x:c>
      <x:c r="G327" s="141" t="n">
        <x:v>91</x:v>
      </x:c>
      <x:c r="H327" s="141" t="n">
        <x:v>96.9</x:v>
      </x:c>
      <x:c r="I327" s="141" t="str">
        <x:v>Exceptional</x:v>
      </x:c>
      <x:c r="J327" s="141" t="str">
        <x:v>Yes</x:v>
      </x:c>
      <x:c r="K327" s="141" t="str">
        <x:v>No</x:v>
      </x:c>
    </x:row>
    <x:row r="328">
      <x:c r="A328" s="141" t="str">
        <x:v>PF-0331</x:v>
      </x:c>
      <x:c r="B328" s="141" t="str">
        <x:v>SG-21003092659</x:v>
      </x:c>
      <x:c r="C328" s="141" t="str">
        <x:v>Q3</x:v>
      </x:c>
      <x:c r="D328" s="141" t="str">
        <x:v>Smartwatch Production</x:v>
      </x:c>
      <x:c r="E328" s="141" t="n">
        <x:v>65</x:v>
      </x:c>
      <x:c r="F328" s="141" t="n">
        <x:v>74</x:v>
      </x:c>
      <x:c r="G328" s="141" t="n">
        <x:v>73</x:v>
      </x:c>
      <x:c r="H328" s="141" t="n">
        <x:v>69.8</x:v>
      </x:c>
      <x:c r="I328" s="141" t="str">
        <x:v>Meets</x:v>
      </x:c>
      <x:c r="J328" s="141" t="str">
        <x:v>Yes</x:v>
      </x:c>
      <x:c r="K328" s="141" t="str">
        <x:v>Yes</x:v>
      </x:c>
    </x:row>
    <x:row r="329">
      <x:c r="A329" s="141" t="str">
        <x:v>PF-0332</x:v>
      </x:c>
      <x:c r="B329" s="141" t="str">
        <x:v>SG-21003092659</x:v>
      </x:c>
      <x:c r="C329" s="141" t="str">
        <x:v>Q4</x:v>
      </x:c>
      <x:c r="D329" s="141" t="str">
        <x:v>Smartwatch Production</x:v>
      </x:c>
      <x:c r="E329" s="141" t="n">
        <x:v>63</x:v>
      </x:c>
      <x:c r="F329" s="141" t="n">
        <x:v>81</x:v>
      </x:c>
      <x:c r="G329" s="141" t="n">
        <x:v>92</x:v>
      </x:c>
      <x:c r="H329" s="141" t="n">
        <x:v>75.1</x:v>
      </x:c>
      <x:c r="I329" s="141" t="str">
        <x:v>Meets</x:v>
      </x:c>
      <x:c r="J329" s="141" t="str">
        <x:v>Yes</x:v>
      </x:c>
      <x:c r="K329" s="141" t="str">
        <x:v>Yes</x:v>
      </x:c>
    </x:row>
    <x:row r="330">
      <x:c r="A330" s="141" t="str">
        <x:v>PF-0333</x:v>
      </x:c>
      <x:c r="B330" s="141" t="str">
        <x:v>SG-21009092660</x:v>
      </x:c>
      <x:c r="C330" s="141" t="str">
        <x:v>Q3</x:v>
      </x:c>
      <x:c r="D330" s="141" t="str">
        <x:v>Smartwatch Production</x:v>
      </x:c>
      <x:c r="E330" s="141" t="n">
        <x:v>76</x:v>
      </x:c>
      <x:c r="F330" s="141" t="n">
        <x:v>84</x:v>
      </x:c>
      <x:c r="G330" s="141" t="n">
        <x:v>80</x:v>
      </x:c>
      <x:c r="H330" s="141" t="n">
        <x:v>79.6</x:v>
      </x:c>
      <x:c r="I330" s="141" t="str">
        <x:v>Meets</x:v>
      </x:c>
      <x:c r="J330" s="141" t="str">
        <x:v>Yes</x:v>
      </x:c>
      <x:c r="K330" s="141" t="str">
        <x:v>Yes</x:v>
      </x:c>
    </x:row>
    <x:row r="331">
      <x:c r="A331" s="141" t="str">
        <x:v>PF-0334</x:v>
      </x:c>
      <x:c r="B331" s="141" t="str">
        <x:v>SG-21009092660</x:v>
      </x:c>
      <x:c r="C331" s="141" t="str">
        <x:v>Q4</x:v>
      </x:c>
      <x:c r="D331" s="141" t="str">
        <x:v>Smartwatch Production</x:v>
      </x:c>
      <x:c r="E331" s="141" t="n">
        <x:v>94</x:v>
      </x:c>
      <x:c r="F331" s="141" t="n">
        <x:v>88</x:v>
      </x:c>
      <x:c r="G331" s="141" t="n">
        <x:v>86</x:v>
      </x:c>
      <x:c r="H331" s="141" t="n">
        <x:v>90.3</x:v>
      </x:c>
      <x:c r="I331" s="141" t="str">
        <x:v>Exceptional</x:v>
      </x:c>
      <x:c r="J331" s="141" t="str">
        <x:v>Yes</x:v>
      </x:c>
      <x:c r="K331" s="141" t="str">
        <x:v>Yes</x:v>
      </x:c>
    </x:row>
    <x:row r="332">
      <x:c r="A332" s="141" t="str">
        <x:v>PF-0335</x:v>
      </x:c>
      <x:c r="B332" s="141" t="str">
        <x:v>SG-21024092661</x:v>
      </x:c>
      <x:c r="C332" s="141" t="str">
        <x:v>Q3</x:v>
      </x:c>
      <x:c r="D332" s="141" t="str">
        <x:v>Smartwatch Production</x:v>
      </x:c>
      <x:c r="E332" s="141" t="n">
        <x:v>80</x:v>
      </x:c>
      <x:c r="F332" s="141" t="n">
        <x:v>81</x:v>
      </x:c>
      <x:c r="G332" s="141" t="n">
        <x:v>77</x:v>
      </x:c>
      <x:c r="H332" s="141" t="n">
        <x:v>79.8</x:v>
      </x:c>
      <x:c r="I332" s="141" t="str">
        <x:v>Meets</x:v>
      </x:c>
      <x:c r="J332" s="141" t="str">
        <x:v>Yes</x:v>
      </x:c>
      <x:c r="K332" s="141" t="str">
        <x:v>Yes</x:v>
      </x:c>
    </x:row>
    <x:row r="333">
      <x:c r="A333" s="141" t="str">
        <x:v>PF-0336</x:v>
      </x:c>
      <x:c r="B333" s="141" t="str">
        <x:v>SG-21024092661</x:v>
      </x:c>
      <x:c r="C333" s="141" t="str">
        <x:v>Q4</x:v>
      </x:c>
      <x:c r="D333" s="141" t="str">
        <x:v>Smartwatch Production</x:v>
      </x:c>
      <x:c r="E333" s="141" t="n">
        <x:v>82</x:v>
      </x:c>
      <x:c r="F333" s="141" t="n">
        <x:v>75</x:v>
      </x:c>
      <x:c r="G333" s="141" t="n">
        <x:v>85</x:v>
      </x:c>
      <x:c r="H333" s="141" t="n">
        <x:v>80.2</x:v>
      </x:c>
      <x:c r="I333" s="141" t="str">
        <x:v>Exceeds</x:v>
      </x:c>
      <x:c r="J333" s="141" t="str">
        <x:v>Yes</x:v>
      </x:c>
      <x:c r="K333" s="141" t="str">
        <x:v>No</x:v>
      </x:c>
    </x:row>
    <x:row r="334">
      <x:c r="A334" s="141" t="str">
        <x:v>PF-0337</x:v>
      </x:c>
      <x:c r="B334" s="141" t="str">
        <x:v>SG-21010082662</x:v>
      </x:c>
      <x:c r="C334" s="141" t="str">
        <x:v>Q3</x:v>
      </x:c>
      <x:c r="D334" s="141" t="str">
        <x:v>Smartwatch Production</x:v>
      </x:c>
      <x:c r="E334" s="141" t="n">
        <x:v>69</x:v>
      </x:c>
      <x:c r="F334" s="141" t="n">
        <x:v>69</x:v>
      </x:c>
      <x:c r="G334" s="141" t="n">
        <x:v>79</x:v>
      </x:c>
      <x:c r="H334" s="141" t="n">
        <x:v>71</x:v>
      </x:c>
      <x:c r="I334" s="141" t="str">
        <x:v>Meets</x:v>
      </x:c>
      <x:c r="J334" s="141" t="str">
        <x:v>Yes</x:v>
      </x:c>
      <x:c r="K334" s="141" t="str">
        <x:v>Yes</x:v>
      </x:c>
    </x:row>
    <x:row r="335">
      <x:c r="A335" s="141" t="str">
        <x:v>PF-0338</x:v>
      </x:c>
      <x:c r="B335" s="141" t="str">
        <x:v>SG-21010082662</x:v>
      </x:c>
      <x:c r="C335" s="141" t="str">
        <x:v>Q4</x:v>
      </x:c>
      <x:c r="D335" s="141" t="str">
        <x:v>Smartwatch Production</x:v>
      </x:c>
      <x:c r="E335" s="141" t="n">
        <x:v>83</x:v>
      </x:c>
      <x:c r="F335" s="141" t="n">
        <x:v>79</x:v>
      </x:c>
      <x:c r="G335" s="141" t="n">
        <x:v>94</x:v>
      </x:c>
      <x:c r="H335" s="141" t="n">
        <x:v>83.8</x:v>
      </x:c>
      <x:c r="I335" s="141" t="str">
        <x:v>Exceeds</x:v>
      </x:c>
      <x:c r="J335" s="141" t="str">
        <x:v>Yes</x:v>
      </x:c>
      <x:c r="K335" s="141" t="str">
        <x:v>No</x:v>
      </x:c>
    </x:row>
    <x:row r="336">
      <x:c r="A336" s="141" t="str">
        <x:v>PF-0339</x:v>
      </x:c>
      <x:c r="B336" s="141" t="str">
        <x:v>SG-21022082663</x:v>
      </x:c>
      <x:c r="C336" s="141" t="str">
        <x:v>Q3</x:v>
      </x:c>
      <x:c r="D336" s="141" t="str">
        <x:v>Smartwatch Production</x:v>
      </x:c>
      <x:c r="E336" s="141" t="n">
        <x:v>89</x:v>
      </x:c>
      <x:c r="F336" s="141" t="n">
        <x:v>90</x:v>
      </x:c>
      <x:c r="G336" s="141" t="n">
        <x:v>74</x:v>
      </x:c>
      <x:c r="H336" s="141" t="n">
        <x:v>86.3</x:v>
      </x:c>
      <x:c r="I336" s="141" t="str">
        <x:v>Exceeds</x:v>
      </x:c>
      <x:c r="J336" s="141" t="str">
        <x:v>Yes</x:v>
      </x:c>
      <x:c r="K336" s="141" t="str">
        <x:v>No</x:v>
      </x:c>
    </x:row>
    <x:row r="337">
      <x:c r="A337" s="141" t="str">
        <x:v>PF-0340</x:v>
      </x:c>
      <x:c r="B337" s="141" t="str">
        <x:v>SG-21022082663</x:v>
      </x:c>
      <x:c r="C337" s="141" t="str">
        <x:v>Q4</x:v>
      </x:c>
      <x:c r="D337" s="141" t="str">
        <x:v>Smartwatch Production</x:v>
      </x:c>
      <x:c r="E337" s="141" t="n">
        <x:v>84</x:v>
      </x:c>
      <x:c r="F337" s="141" t="n">
        <x:v>100</x:v>
      </x:c>
      <x:c r="G337" s="141" t="n">
        <x:v>100</x:v>
      </x:c>
      <x:c r="H337" s="141" t="n">
        <x:v>92.8</x:v>
      </x:c>
      <x:c r="I337" s="141" t="str">
        <x:v>Exceptional</x:v>
      </x:c>
      <x:c r="J337" s="141" t="str">
        <x:v>Yes</x:v>
      </x:c>
      <x:c r="K337" s="141" t="str">
        <x:v>Yes</x:v>
      </x:c>
    </x:row>
    <x:row r="338">
      <x:c r="A338" s="141" t="str">
        <x:v>PF-0341</x:v>
      </x:c>
      <x:c r="B338" s="141" t="str">
        <x:v>SG-21015082664</x:v>
      </x:c>
      <x:c r="C338" s="141" t="str">
        <x:v>Q3</x:v>
      </x:c>
      <x:c r="D338" s="141" t="str">
        <x:v>Smartwatch Production</x:v>
      </x:c>
      <x:c r="E338" s="141" t="n">
        <x:v>92</x:v>
      </x:c>
      <x:c r="F338" s="141" t="n">
        <x:v>92</x:v>
      </x:c>
      <x:c r="G338" s="141" t="n">
        <x:v>92</x:v>
      </x:c>
      <x:c r="H338" s="141" t="n">
        <x:v>92</x:v>
      </x:c>
      <x:c r="I338" s="141" t="str">
        <x:v>Exceptional</x:v>
      </x:c>
      <x:c r="J338" s="141" t="str">
        <x:v>Yes</x:v>
      </x:c>
      <x:c r="K338" s="141" t="str">
        <x:v>Yes</x:v>
      </x:c>
    </x:row>
    <x:row r="339">
      <x:c r="A339" s="141" t="str">
        <x:v>PF-0342</x:v>
      </x:c>
      <x:c r="B339" s="141" t="str">
        <x:v>SG-21015082664</x:v>
      </x:c>
      <x:c r="C339" s="141" t="str">
        <x:v>Q4</x:v>
      </x:c>
      <x:c r="D339" s="141" t="str">
        <x:v>Smartwatch Production</x:v>
      </x:c>
      <x:c r="E339" s="141" t="n">
        <x:v>89</x:v>
      </x:c>
      <x:c r="F339" s="141" t="n">
        <x:v>100</x:v>
      </x:c>
      <x:c r="G339" s="141" t="n">
        <x:v>88</x:v>
      </x:c>
      <x:c r="H339" s="141" t="n">
        <x:v>92.7</x:v>
      </x:c>
      <x:c r="I339" s="141" t="str">
        <x:v>Exceptional</x:v>
      </x:c>
      <x:c r="J339" s="141" t="str">
        <x:v>Yes</x:v>
      </x:c>
      <x:c r="K339" s="141" t="str">
        <x:v>Yes</x:v>
      </x:c>
    </x:row>
    <x:row r="340">
      <x:c r="A340" s="141" t="str">
        <x:v>PF-0343</x:v>
      </x:c>
      <x:c r="B340" s="141" t="str">
        <x:v>SG-21006082665</x:v>
      </x:c>
      <x:c r="C340" s="141" t="str">
        <x:v>Q3</x:v>
      </x:c>
      <x:c r="D340" s="141" t="str">
        <x:v>Smartwatch Production</x:v>
      </x:c>
      <x:c r="E340" s="141" t="n">
        <x:v>75</x:v>
      </x:c>
      <x:c r="F340" s="141" t="n">
        <x:v>70</x:v>
      </x:c>
      <x:c r="G340" s="141" t="n">
        <x:v>88</x:v>
      </x:c>
      <x:c r="H340" s="141" t="n">
        <x:v>75.8</x:v>
      </x:c>
      <x:c r="I340" s="141" t="str">
        <x:v>Meets</x:v>
      </x:c>
      <x:c r="J340" s="141" t="str">
        <x:v>No</x:v>
      </x:c>
      <x:c r="K340" s="141" t="str">
        <x:v>Yes</x:v>
      </x:c>
    </x:row>
    <x:row r="341">
      <x:c r="A341" s="141" t="str">
        <x:v>PF-0344</x:v>
      </x:c>
      <x:c r="B341" s="141" t="str">
        <x:v>SG-21006082665</x:v>
      </x:c>
      <x:c r="C341" s="141" t="str">
        <x:v>Q4</x:v>
      </x:c>
      <x:c r="D341" s="141" t="str">
        <x:v>Smartwatch Production</x:v>
      </x:c>
      <x:c r="E341" s="141" t="n">
        <x:v>87</x:v>
      </x:c>
      <x:c r="F341" s="141" t="n">
        <x:v>86</x:v>
      </x:c>
      <x:c r="G341" s="141" t="n">
        <x:v>98</x:v>
      </x:c>
      <x:c r="H341" s="141" t="n">
        <x:v>88.8</x:v>
      </x:c>
      <x:c r="I341" s="141" t="str">
        <x:v>Exceeds</x:v>
      </x:c>
      <x:c r="J341" s="141" t="str">
        <x:v>Yes</x:v>
      </x:c>
      <x:c r="K341" s="141" t="str">
        <x:v>No</x:v>
      </x:c>
    </x:row>
    <x:row r="342">
      <x:c r="A342" s="141" t="str">
        <x:v>PF-0345</x:v>
      </x:c>
      <x:c r="B342" s="141" t="str">
        <x:v>SG-21004082666</x:v>
      </x:c>
      <x:c r="C342" s="141" t="str">
        <x:v>Q3</x:v>
      </x:c>
      <x:c r="D342" s="141" t="str">
        <x:v>Smartwatch Production</x:v>
      </x:c>
      <x:c r="E342" s="141" t="n">
        <x:v>74</x:v>
      </x:c>
      <x:c r="F342" s="141" t="n">
        <x:v>70</x:v>
      </x:c>
      <x:c r="G342" s="141" t="n">
        <x:v>80</x:v>
      </x:c>
      <x:c r="H342" s="141" t="n">
        <x:v>73.8</x:v>
      </x:c>
      <x:c r="I342" s="141" t="str">
        <x:v>Meets</x:v>
      </x:c>
      <x:c r="J342" s="141" t="str">
        <x:v>Yes</x:v>
      </x:c>
      <x:c r="K342" s="141" t="str">
        <x:v>Yes</x:v>
      </x:c>
    </x:row>
    <x:row r="343">
      <x:c r="A343" s="141" t="str">
        <x:v>PF-0346</x:v>
      </x:c>
      <x:c r="B343" s="141" t="str">
        <x:v>SG-21004082666</x:v>
      </x:c>
      <x:c r="C343" s="141" t="str">
        <x:v>Q4</x:v>
      </x:c>
      <x:c r="D343" s="141" t="str">
        <x:v>Smartwatch Production</x:v>
      </x:c>
      <x:c r="E343" s="141" t="n">
        <x:v>98</x:v>
      </x:c>
      <x:c r="F343" s="141" t="n">
        <x:v>88</x:v>
      </x:c>
      <x:c r="G343" s="141" t="n">
        <x:v>83</x:v>
      </x:c>
      <x:c r="H343" s="141" t="n">
        <x:v>91.5</x:v>
      </x:c>
      <x:c r="I343" s="141" t="str">
        <x:v>Exceptional</x:v>
      </x:c>
      <x:c r="J343" s="141" t="str">
        <x:v>Yes</x:v>
      </x:c>
      <x:c r="K343" s="141" t="str">
        <x:v>No</x:v>
      </x:c>
    </x:row>
    <x:row r="344">
      <x:c r="A344" s="141" t="str">
        <x:v>PF-0347</x:v>
      </x:c>
      <x:c r="B344" s="141" t="str">
        <x:v>SG-21024082667</x:v>
      </x:c>
      <x:c r="C344" s="141" t="str">
        <x:v>Q3</x:v>
      </x:c>
      <x:c r="D344" s="141" t="str">
        <x:v>Smartwatch Production</x:v>
      </x:c>
      <x:c r="E344" s="141" t="n">
        <x:v>77</x:v>
      </x:c>
      <x:c r="F344" s="141" t="n">
        <x:v>84</x:v>
      </x:c>
      <x:c r="G344" s="141" t="n">
        <x:v>77</x:v>
      </x:c>
      <x:c r="H344" s="141" t="n">
        <x:v>79.5</x:v>
      </x:c>
      <x:c r="I344" s="141" t="str">
        <x:v>Meets</x:v>
      </x:c>
      <x:c r="J344" s="141" t="str">
        <x:v>Yes</x:v>
      </x:c>
      <x:c r="K344" s="141" t="str">
        <x:v>Yes</x:v>
      </x:c>
    </x:row>
    <x:row r="345">
      <x:c r="A345" s="141" t="str">
        <x:v>PF-0348</x:v>
      </x:c>
      <x:c r="B345" s="141" t="str">
        <x:v>SG-21024082667</x:v>
      </x:c>
      <x:c r="C345" s="141" t="str">
        <x:v>Q4</x:v>
      </x:c>
      <x:c r="D345" s="141" t="str">
        <x:v>Smartwatch Production</x:v>
      </x:c>
      <x:c r="E345" s="141" t="n">
        <x:v>91</x:v>
      </x:c>
      <x:c r="F345" s="141" t="n">
        <x:v>88</x:v>
      </x:c>
      <x:c r="G345" s="141" t="n">
        <x:v>82</x:v>
      </x:c>
      <x:c r="H345" s="141" t="n">
        <x:v>88.2</x:v>
      </x:c>
      <x:c r="I345" s="141" t="str">
        <x:v>Exceeds</x:v>
      </x:c>
      <x:c r="J345" s="141" t="str">
        <x:v>Yes</x:v>
      </x:c>
      <x:c r="K345" s="141" t="str">
        <x:v>No</x:v>
      </x:c>
    </x:row>
    <x:row r="346">
      <x:c r="A346" s="141" t="str">
        <x:v>PF-0349</x:v>
      </x:c>
      <x:c r="B346" s="141" t="str">
        <x:v>SG-22006072614</x:v>
      </x:c>
      <x:c r="C346" s="141" t="str">
        <x:v>Q3</x:v>
      </x:c>
      <x:c r="D346" s="141" t="str">
        <x:v>Quality Assurance</x:v>
      </x:c>
      <x:c r="E346" s="141" t="n">
        <x:v>68</x:v>
      </x:c>
      <x:c r="F346" s="141" t="n">
        <x:v>84</x:v>
      </x:c>
      <x:c r="G346" s="141" t="n">
        <x:v>85</x:v>
      </x:c>
      <x:c r="H346" s="141" t="n">
        <x:v>77</x:v>
      </x:c>
      <x:c r="I346" s="141" t="str">
        <x:v>Meets</x:v>
      </x:c>
      <x:c r="J346" s="141" t="str">
        <x:v>Yes</x:v>
      </x:c>
      <x:c r="K346" s="141" t="str">
        <x:v>Yes</x:v>
      </x:c>
    </x:row>
    <x:row r="347">
      <x:c r="A347" s="141" t="str">
        <x:v>PF-0350</x:v>
      </x:c>
      <x:c r="B347" s="141" t="str">
        <x:v>SG-22006072614</x:v>
      </x:c>
      <x:c r="C347" s="141" t="str">
        <x:v>Q4</x:v>
      </x:c>
      <x:c r="D347" s="141" t="str">
        <x:v>Quality Assurance</x:v>
      </x:c>
      <x:c r="E347" s="141" t="n">
        <x:v>77</x:v>
      </x:c>
      <x:c r="F347" s="141" t="n">
        <x:v>75</x:v>
      </x:c>
      <x:c r="G347" s="141" t="n">
        <x:v>88</x:v>
      </x:c>
      <x:c r="H347" s="141" t="n">
        <x:v>78.5</x:v>
      </x:c>
      <x:c r="I347" s="141" t="str">
        <x:v>Meets</x:v>
      </x:c>
      <x:c r="J347" s="141" t="str">
        <x:v>Yes</x:v>
      </x:c>
      <x:c r="K347" s="141" t="str">
        <x:v>Yes</x:v>
      </x:c>
    </x:row>
    <x:row r="348">
      <x:c r="A348" s="141" t="str">
        <x:v>PF-0351</x:v>
      </x:c>
      <x:c r="B348" s="141" t="str">
        <x:v>SG-22016082615</x:v>
      </x:c>
      <x:c r="C348" s="141" t="str">
        <x:v>Q3</x:v>
      </x:c>
      <x:c r="D348" s="141" t="str">
        <x:v>Quality Assurance</x:v>
      </x:c>
      <x:c r="E348" s="141" t="n">
        <x:v>65</x:v>
      </x:c>
      <x:c r="F348" s="141" t="n">
        <x:v>64</x:v>
      </x:c>
      <x:c r="G348" s="141" t="n">
        <x:v>74</x:v>
      </x:c>
      <x:c r="H348" s="141" t="n">
        <x:v>66.5</x:v>
      </x:c>
      <x:c r="I348" s="141" t="str">
        <x:v>Meets</x:v>
      </x:c>
      <x:c r="J348" s="141" t="str">
        <x:v>Yes</x:v>
      </x:c>
      <x:c r="K348" s="141" t="str">
        <x:v>Yes</x:v>
      </x:c>
    </x:row>
    <x:row r="349">
      <x:c r="A349" s="141" t="str">
        <x:v>PF-0352</x:v>
      </x:c>
      <x:c r="B349" s="141" t="str">
        <x:v>SG-22016082615</x:v>
      </x:c>
      <x:c r="C349" s="141" t="str">
        <x:v>Q4</x:v>
      </x:c>
      <x:c r="D349" s="141" t="str">
        <x:v>Quality Assurance</x:v>
      </x:c>
      <x:c r="E349" s="141" t="n">
        <x:v>89</x:v>
      </x:c>
      <x:c r="F349" s="141" t="n">
        <x:v>85</x:v>
      </x:c>
      <x:c r="G349" s="141" t="n">
        <x:v>89</x:v>
      </x:c>
      <x:c r="H349" s="141" t="n">
        <x:v>87.6</x:v>
      </x:c>
      <x:c r="I349" s="141" t="str">
        <x:v>Exceeds</x:v>
      </x:c>
      <x:c r="J349" s="141" t="str">
        <x:v>Yes</x:v>
      </x:c>
      <x:c r="K349" s="141" t="str">
        <x:v>No</x:v>
      </x:c>
    </x:row>
    <x:row r="350">
      <x:c r="A350" s="141" t="str">
        <x:v>PF-0353</x:v>
      </x:c>
      <x:c r="B350" s="141" t="str">
        <x:v>SG-22008082616</x:v>
      </x:c>
      <x:c r="C350" s="141" t="str">
        <x:v>Q3</x:v>
      </x:c>
      <x:c r="D350" s="141" t="str">
        <x:v>Quality Assurance</x:v>
      </x:c>
      <x:c r="E350" s="141" t="n">
        <x:v>80</x:v>
      </x:c>
      <x:c r="F350" s="141" t="n">
        <x:v>83</x:v>
      </x:c>
      <x:c r="G350" s="141" t="n">
        <x:v>70</x:v>
      </x:c>
      <x:c r="H350" s="141" t="n">
        <x:v>79</x:v>
      </x:c>
      <x:c r="I350" s="141" t="str">
        <x:v>Meets</x:v>
      </x:c>
      <x:c r="J350" s="141" t="str">
        <x:v>Yes</x:v>
      </x:c>
      <x:c r="K350" s="141" t="str">
        <x:v>Yes</x:v>
      </x:c>
    </x:row>
    <x:row r="351">
      <x:c r="A351" s="141" t="str">
        <x:v>PF-0354</x:v>
      </x:c>
      <x:c r="B351" s="141" t="str">
        <x:v>SG-22008082616</x:v>
      </x:c>
      <x:c r="C351" s="141" t="str">
        <x:v>Q4</x:v>
      </x:c>
      <x:c r="D351" s="141" t="str">
        <x:v>Quality Assurance</x:v>
      </x:c>
      <x:c r="E351" s="141" t="n">
        <x:v>94</x:v>
      </x:c>
      <x:c r="F351" s="141" t="n">
        <x:v>81</x:v>
      </x:c>
      <x:c r="G351" s="141" t="n">
        <x:v>82</x:v>
      </x:c>
      <x:c r="H351" s="141" t="n">
        <x:v>87.1</x:v>
      </x:c>
      <x:c r="I351" s="141" t="str">
        <x:v>Exceeds</x:v>
      </x:c>
      <x:c r="J351" s="141" t="str">
        <x:v>Yes</x:v>
      </x:c>
      <x:c r="K351" s="141" t="str">
        <x:v>No</x:v>
      </x:c>
    </x:row>
    <x:row r="352">
      <x:c r="A352" s="141" t="str">
        <x:v>PF-0355</x:v>
      </x:c>
      <x:c r="B352" s="141" t="str">
        <x:v>SG-22002092617</x:v>
      </x:c>
      <x:c r="C352" s="141" t="str">
        <x:v>Q3</x:v>
      </x:c>
      <x:c r="D352" s="141" t="str">
        <x:v>Quality Assurance</x:v>
      </x:c>
      <x:c r="E352" s="141" t="n">
        <x:v>71</x:v>
      </x:c>
      <x:c r="F352" s="141" t="n">
        <x:v>84</x:v>
      </x:c>
      <x:c r="G352" s="141" t="n">
        <x:v>81</x:v>
      </x:c>
      <x:c r="H352" s="141" t="n">
        <x:v>77.5</x:v>
      </x:c>
      <x:c r="I352" s="141" t="str">
        <x:v>Meets</x:v>
      </x:c>
      <x:c r="J352" s="141" t="str">
        <x:v>Yes</x:v>
      </x:c>
      <x:c r="K352" s="141" t="str">
        <x:v>Yes</x:v>
      </x:c>
    </x:row>
    <x:row r="353">
      <x:c r="A353" s="141" t="str">
        <x:v>PF-0356</x:v>
      </x:c>
      <x:c r="B353" s="141" t="str">
        <x:v>SG-22002092617</x:v>
      </x:c>
      <x:c r="C353" s="141" t="str">
        <x:v>Q4</x:v>
      </x:c>
      <x:c r="D353" s="141" t="str">
        <x:v>Quality Assurance</x:v>
      </x:c>
      <x:c r="E353" s="141" t="n">
        <x:v>82</x:v>
      </x:c>
      <x:c r="F353" s="141" t="n">
        <x:v>87</x:v>
      </x:c>
      <x:c r="G353" s="141" t="n">
        <x:v>92</x:v>
      </x:c>
      <x:c r="H353" s="141" t="n">
        <x:v>85.8</x:v>
      </x:c>
      <x:c r="I353" s="141" t="str">
        <x:v>Exceeds</x:v>
      </x:c>
      <x:c r="J353" s="141" t="str">
        <x:v>Yes</x:v>
      </x:c>
      <x:c r="K353" s="141" t="str">
        <x:v>No</x:v>
      </x:c>
    </x:row>
    <x:row r="354">
      <x:c r="A354" s="141" t="str">
        <x:v>PF-0357</x:v>
      </x:c>
      <x:c r="B354" s="141" t="str">
        <x:v>SG-23030082611</x:v>
      </x:c>
      <x:c r="C354" s="141" t="str">
        <x:v>Q3</x:v>
      </x:c>
      <x:c r="D354" s="141" t="str">
        <x:v>Engineering and Maintenance</x:v>
      </x:c>
      <x:c r="E354" s="141" t="n">
        <x:v>65</x:v>
      </x:c>
      <x:c r="F354" s="141" t="n">
        <x:v>79</x:v>
      </x:c>
      <x:c r="G354" s="141" t="n">
        <x:v>86</x:v>
      </x:c>
      <x:c r="H354" s="141" t="n">
        <x:v>74.1</x:v>
      </x:c>
      <x:c r="I354" s="141" t="str">
        <x:v>Meets</x:v>
      </x:c>
      <x:c r="J354" s="141" t="str">
        <x:v>Yes</x:v>
      </x:c>
      <x:c r="K354" s="141" t="str">
        <x:v>Yes</x:v>
      </x:c>
    </x:row>
    <x:row r="355">
      <x:c r="A355" s="141" t="str">
        <x:v>PF-0358</x:v>
      </x:c>
      <x:c r="B355" s="141" t="str">
        <x:v>SG-23030082611</x:v>
      </x:c>
      <x:c r="C355" s="141" t="str">
        <x:v>Q4</x:v>
      </x:c>
      <x:c r="D355" s="141" t="str">
        <x:v>Engineering and Maintenance</x:v>
      </x:c>
      <x:c r="E355" s="141" t="n">
        <x:v>72</x:v>
      </x:c>
      <x:c r="F355" s="141" t="n">
        <x:v>88</x:v>
      </x:c>
      <x:c r="G355" s="141" t="n">
        <x:v>90</x:v>
      </x:c>
      <x:c r="H355" s="141" t="n">
        <x:v>81.2</x:v>
      </x:c>
      <x:c r="I355" s="141" t="str">
        <x:v>Exceeds</x:v>
      </x:c>
      <x:c r="J355" s="141" t="str">
        <x:v>Yes</x:v>
      </x:c>
      <x:c r="K355" s="141" t="str">
        <x:v>No</x:v>
      </x:c>
    </x:row>
    <x:row r="356">
      <x:c r="A356" s="141" t="str">
        <x:v>PF-0359</x:v>
      </x:c>
      <x:c r="B356" s="141" t="str">
        <x:v>SG-23001082612</x:v>
      </x:c>
      <x:c r="C356" s="141" t="str">
        <x:v>Q3</x:v>
      </x:c>
      <x:c r="D356" s="141" t="str">
        <x:v>Engineering and Maintenance</x:v>
      </x:c>
      <x:c r="E356" s="141" t="n">
        <x:v>71</x:v>
      </x:c>
      <x:c r="F356" s="141" t="n">
        <x:v>66</x:v>
      </x:c>
      <x:c r="G356" s="141" t="n">
        <x:v>86</x:v>
      </x:c>
      <x:c r="H356" s="141" t="n">
        <x:v>72.2</x:v>
      </x:c>
      <x:c r="I356" s="141" t="str">
        <x:v>Meets</x:v>
      </x:c>
      <x:c r="J356" s="141" t="str">
        <x:v>No</x:v>
      </x:c>
      <x:c r="K356" s="141" t="str">
        <x:v>Yes</x:v>
      </x:c>
    </x:row>
    <x:row r="357">
      <x:c r="A357" s="141" t="str">
        <x:v>PF-0360</x:v>
      </x:c>
      <x:c r="B357" s="141" t="str">
        <x:v>SG-23001082612</x:v>
      </x:c>
      <x:c r="C357" s="141" t="str">
        <x:v>Q4</x:v>
      </x:c>
      <x:c r="D357" s="141" t="str">
        <x:v>Engineering and Maintenance</x:v>
      </x:c>
      <x:c r="E357" s="141" t="n">
        <x:v>84</x:v>
      </x:c>
      <x:c r="F357" s="141" t="n">
        <x:v>82</x:v>
      </x:c>
      <x:c r="G357" s="141" t="n">
        <x:v>98</x:v>
      </x:c>
      <x:c r="H357" s="141" t="n">
        <x:v>86.1</x:v>
      </x:c>
      <x:c r="I357" s="141" t="str">
        <x:v>Exceeds</x:v>
      </x:c>
      <x:c r="J357" s="141" t="str">
        <x:v>Yes</x:v>
      </x:c>
      <x:c r="K357" s="141" t="str">
        <x:v>No</x:v>
      </x:c>
    </x:row>
    <x:row r="358">
      <x:c r="A358" s="141" t="str">
        <x:v>PF-0361</x:v>
      </x:c>
      <x:c r="B358" s="141" t="str">
        <x:v>SG-23013092613</x:v>
      </x:c>
      <x:c r="C358" s="141" t="str">
        <x:v>Q3</x:v>
      </x:c>
      <x:c r="D358" s="141" t="str">
        <x:v>Engineering and Maintenance</x:v>
      </x:c>
      <x:c r="E358" s="141" t="n">
        <x:v>96</x:v>
      </x:c>
      <x:c r="F358" s="141" t="n">
        <x:v>77</x:v>
      </x:c>
      <x:c r="G358" s="141" t="n">
        <x:v>79</x:v>
      </x:c>
      <x:c r="H358" s="141" t="n">
        <x:v>86</x:v>
      </x:c>
      <x:c r="I358" s="141" t="str">
        <x:v>Exceeds</x:v>
      </x:c>
      <x:c r="J358" s="141" t="str">
        <x:v>Yes</x:v>
      </x:c>
      <x:c r="K358" s="141" t="str">
        <x:v>No</x:v>
      </x:c>
    </x:row>
    <x:row r="359">
      <x:c r="A359" s="141" t="str">
        <x:v>PF-0362</x:v>
      </x:c>
      <x:c r="B359" s="141" t="str">
        <x:v>SG-23013092613</x:v>
      </x:c>
      <x:c r="C359" s="141" t="str">
        <x:v>Q4</x:v>
      </x:c>
      <x:c r="D359" s="141" t="str">
        <x:v>Engineering and Maintenance</x:v>
      </x:c>
      <x:c r="E359" s="141" t="n">
        <x:v>83</x:v>
      </x:c>
      <x:c r="F359" s="141" t="n">
        <x:v>94</x:v>
      </x:c>
      <x:c r="G359" s="141" t="n">
        <x:v>93</x:v>
      </x:c>
      <x:c r="H359" s="141" t="n">
        <x:v>88.8</x:v>
      </x:c>
      <x:c r="I359" s="141" t="str">
        <x:v>Exceeds</x:v>
      </x:c>
      <x:c r="J359" s="141" t="str">
        <x:v>Yes</x:v>
      </x:c>
      <x:c r="K359" s="141" t="str">
        <x:v>Yes</x:v>
      </x:c>
    </x:row>
    <x:row r="360">
      <x:c r="A360" s="141" t="str">
        <x:v>PF-0363</x:v>
      </x:c>
      <x:c r="B360" s="141" t="str">
        <x:v>SG-24025082610</x:v>
      </x:c>
      <x:c r="C360" s="141" t="str">
        <x:v>Q3</x:v>
      </x:c>
      <x:c r="D360" s="141" t="str">
        <x:v>Research and Development</x:v>
      </x:c>
      <x:c r="E360" s="141" t="n">
        <x:v>82</x:v>
      </x:c>
      <x:c r="F360" s="141" t="n">
        <x:v>66</x:v>
      </x:c>
      <x:c r="G360" s="141" t="n">
        <x:v>100</x:v>
      </x:c>
      <x:c r="H360" s="141" t="n">
        <x:v>80</x:v>
      </x:c>
      <x:c r="I360" s="141" t="str">
        <x:v>Exceeds</x:v>
      </x:c>
      <x:c r="J360" s="141" t="str">
        <x:v>Yes</x:v>
      </x:c>
      <x:c r="K360" s="141" t="str">
        <x:v>No</x:v>
      </x:c>
    </x:row>
    <x:row r="361">
      <x:c r="A361" s="141" t="str">
        <x:v>PF-0364</x:v>
      </x:c>
      <x:c r="B361" s="141" t="str">
        <x:v>SG-24025082610</x:v>
      </x:c>
      <x:c r="C361" s="141" t="str">
        <x:v>Q4</x:v>
      </x:c>
      <x:c r="D361" s="141" t="str">
        <x:v>Research and Development</x:v>
      </x:c>
      <x:c r="E361" s="141" t="n">
        <x:v>100</x:v>
      </x:c>
      <x:c r="F361" s="141" t="n">
        <x:v>84</x:v>
      </x:c>
      <x:c r="G361" s="141" t="n">
        <x:v>95</x:v>
      </x:c>
      <x:c r="H361" s="141" t="n">
        <x:v>93.4</x:v>
      </x:c>
      <x:c r="I361" s="141" t="str">
        <x:v>Exceptional</x:v>
      </x:c>
      <x:c r="J361" s="141" t="str">
        <x:v>Yes</x:v>
      </x:c>
      <x:c r="K361" s="141" t="str">
        <x:v>No</x:v>
      </x:c>
    </x:row>
    <x:row r="362">
      <x:c r="A362" s="141" t="str">
        <x:v>PF-0365</x:v>
      </x:c>
      <x:c r="B362" s="141" t="str">
        <x:v>SG-24027082611</x:v>
      </x:c>
      <x:c r="C362" s="141" t="str">
        <x:v>Q3</x:v>
      </x:c>
      <x:c r="D362" s="141" t="str">
        <x:v>Research and Development</x:v>
      </x:c>
      <x:c r="E362" s="141" t="n">
        <x:v>55</x:v>
      </x:c>
      <x:c r="F362" s="141" t="n">
        <x:v>74</x:v>
      </x:c>
      <x:c r="G362" s="141" t="n">
        <x:v>72</x:v>
      </x:c>
      <x:c r="H362" s="141" t="n">
        <x:v>65</x:v>
      </x:c>
      <x:c r="I362" s="141" t="str">
        <x:v>Meets</x:v>
      </x:c>
      <x:c r="J362" s="141" t="str">
        <x:v>Yes</x:v>
      </x:c>
      <x:c r="K362" s="141" t="str">
        <x:v>Yes</x:v>
      </x:c>
    </x:row>
    <x:row r="363">
      <x:c r="A363" s="141" t="str">
        <x:v>PF-0366</x:v>
      </x:c>
      <x:c r="B363" s="141" t="str">
        <x:v>SG-24027082611</x:v>
      </x:c>
      <x:c r="C363" s="141" t="str">
        <x:v>Q4</x:v>
      </x:c>
      <x:c r="D363" s="141" t="str">
        <x:v>Research and Development</x:v>
      </x:c>
      <x:c r="E363" s="141" t="n">
        <x:v>66</x:v>
      </x:c>
      <x:c r="F363" s="141" t="n">
        <x:v>85</x:v>
      </x:c>
      <x:c r="G363" s="141" t="n">
        <x:v>97</x:v>
      </x:c>
      <x:c r="H363" s="141" t="n">
        <x:v>78.8</x:v>
      </x:c>
      <x:c r="I363" s="141" t="str">
        <x:v>Meets</x:v>
      </x:c>
      <x:c r="J363" s="141" t="str">
        <x:v>Yes</x:v>
      </x:c>
      <x:c r="K363" s="141" t="str">
        <x:v>Yes</x:v>
      </x:c>
    </x:row>
    <x:row r="364">
      <x:c r="A364" s="141" t="str">
        <x:v>PF-0367</x:v>
      </x:c>
      <x:c r="B364" s="141" t="str">
        <x:v>SG-24026092612</x:v>
      </x:c>
      <x:c r="C364" s="141" t="str">
        <x:v>Q3</x:v>
      </x:c>
      <x:c r="D364" s="141" t="str">
        <x:v>Research and Development</x:v>
      </x:c>
      <x:c r="E364" s="141" t="n">
        <x:v>84</x:v>
      </x:c>
      <x:c r="F364" s="141" t="n">
        <x:v>67</x:v>
      </x:c>
      <x:c r="G364" s="141" t="n">
        <x:v>91</x:v>
      </x:c>
      <x:c r="H364" s="141" t="n">
        <x:v>79.5</x:v>
      </x:c>
      <x:c r="I364" s="141" t="str">
        <x:v>Meets</x:v>
      </x:c>
      <x:c r="J364" s="141" t="str">
        <x:v>No</x:v>
      </x:c>
      <x:c r="K364" s="141" t="str">
        <x:v>Yes</x:v>
      </x:c>
    </x:row>
    <x:row r="365">
      <x:c r="A365" s="141" t="str">
        <x:v>PF-0368</x:v>
      </x:c>
      <x:c r="B365" s="141" t="str">
        <x:v>SG-24026092612</x:v>
      </x:c>
      <x:c r="C365" s="141" t="str">
        <x:v>Q4</x:v>
      </x:c>
      <x:c r="D365" s="141" t="str">
        <x:v>Research and Development</x:v>
      </x:c>
      <x:c r="E365" s="141" t="n">
        <x:v>82</x:v>
      </x:c>
      <x:c r="F365" s="141" t="n">
        <x:v>77</x:v>
      </x:c>
      <x:c r="G365" s="141" t="n">
        <x:v>88</x:v>
      </x:c>
      <x:c r="H365" s="141" t="n">
        <x:v>81.4</x:v>
      </x:c>
      <x:c r="I365" s="141" t="str">
        <x:v>Exceeds</x:v>
      </x:c>
      <x:c r="J365" s="141" t="str">
        <x:v>Yes</x:v>
      </x:c>
      <x:c r="K365" s="141" t="str">
        <x:v>No</x:v>
      </x:c>
    </x:row>
    <x:row r="366">
      <x:c r="A366" s="141" t="str">
        <x:v>PF-0369</x:v>
      </x:c>
      <x:c r="B366" s="141" t="str">
        <x:v>SG-28012072607</x:v>
      </x:c>
      <x:c r="C366" s="141" t="str">
        <x:v>Q3</x:v>
      </x:c>
      <x:c r="D366" s="141" t="str">
        <x:v>IT Data and HRIS</x:v>
      </x:c>
      <x:c r="E366" s="141" t="n">
        <x:v>90</x:v>
      </x:c>
      <x:c r="F366" s="141" t="n">
        <x:v>68</x:v>
      </x:c>
      <x:c r="G366" s="141" t="n">
        <x:v>87</x:v>
      </x:c>
      <x:c r="H366" s="141" t="n">
        <x:v>81.7</x:v>
      </x:c>
      <x:c r="I366" s="141" t="str">
        <x:v>Exceeds</x:v>
      </x:c>
      <x:c r="J366" s="141" t="str">
        <x:v>Yes</x:v>
      </x:c>
      <x:c r="K366" s="141" t="str">
        <x:v>No</x:v>
      </x:c>
    </x:row>
    <x:row r="367">
      <x:c r="A367" s="141" t="str">
        <x:v>PF-0370</x:v>
      </x:c>
      <x:c r="B367" s="141" t="str">
        <x:v>SG-28012072607</x:v>
      </x:c>
      <x:c r="C367" s="141" t="str">
        <x:v>Q4</x:v>
      </x:c>
      <x:c r="D367" s="141" t="str">
        <x:v>IT Data and HRIS</x:v>
      </x:c>
      <x:c r="E367" s="141" t="n">
        <x:v>75</x:v>
      </x:c>
      <x:c r="F367" s="141" t="n">
        <x:v>83</x:v>
      </x:c>
      <x:c r="G367" s="141" t="n">
        <x:v>88</x:v>
      </x:c>
      <x:c r="H367" s="141" t="n">
        <x:v>80.4</x:v>
      </x:c>
      <x:c r="I367" s="141" t="str">
        <x:v>Exceeds</x:v>
      </x:c>
      <x:c r="J367" s="141" t="str">
        <x:v>Yes</x:v>
      </x:c>
      <x:c r="K367" s="141" t="str">
        <x:v>Yes</x:v>
      </x:c>
    </x:row>
    <x:row r="368">
      <x:c r="A368" s="141" t="str">
        <x:v>PF-0371</x:v>
      </x:c>
      <x:c r="B368" s="141" t="str">
        <x:v>SG-28031082608</x:v>
      </x:c>
      <x:c r="C368" s="141" t="str">
        <x:v>Q3</x:v>
      </x:c>
      <x:c r="D368" s="141" t="str">
        <x:v>IT Data and HRIS</x:v>
      </x:c>
      <x:c r="E368" s="141" t="n">
        <x:v>77</x:v>
      </x:c>
      <x:c r="F368" s="141" t="n">
        <x:v>69</x:v>
      </x:c>
      <x:c r="G368" s="141" t="n">
        <x:v>76</x:v>
      </x:c>
      <x:c r="H368" s="141" t="n">
        <x:v>74</x:v>
      </x:c>
      <x:c r="I368" s="141" t="str">
        <x:v>Meets</x:v>
      </x:c>
      <x:c r="J368" s="141" t="str">
        <x:v>Yes</x:v>
      </x:c>
      <x:c r="K368" s="141" t="str">
        <x:v>Yes</x:v>
      </x:c>
    </x:row>
    <x:row r="369">
      <x:c r="A369" s="141" t="str">
        <x:v>PF-0372</x:v>
      </x:c>
      <x:c r="B369" s="141" t="str">
        <x:v>SG-28031082608</x:v>
      </x:c>
      <x:c r="C369" s="141" t="str">
        <x:v>Q4</x:v>
      </x:c>
      <x:c r="D369" s="141" t="str">
        <x:v>IT Data and HRIS</x:v>
      </x:c>
      <x:c r="E369" s="141" t="n">
        <x:v>83</x:v>
      </x:c>
      <x:c r="F369" s="141" t="n">
        <x:v>88</x:v>
      </x:c>
      <x:c r="G369" s="141" t="n">
        <x:v>89</x:v>
      </x:c>
      <x:c r="H369" s="141" t="n">
        <x:v>86</x:v>
      </x:c>
      <x:c r="I369" s="141" t="str">
        <x:v>Exceeds</x:v>
      </x:c>
      <x:c r="J369" s="141" t="str">
        <x:v>Yes</x:v>
      </x:c>
      <x:c r="K369" s="141" t="str">
        <x:v>Yes</x:v>
      </x:c>
    </x:row>
    <x:row r="370">
      <x:c r="A370" s="141" t="str">
        <x:v>PF-0373</x:v>
      </x:c>
      <x:c r="B370" s="141" t="str">
        <x:v>SG-29001082605</x:v>
      </x:c>
      <x:c r="C370" s="141" t="str">
        <x:v>Q3</x:v>
      </x:c>
      <x:c r="D370" s="141" t="str">
        <x:v>Sales Distribution and Service</x:v>
      </x:c>
      <x:c r="E370" s="141" t="n">
        <x:v>67</x:v>
      </x:c>
      <x:c r="F370" s="141" t="n">
        <x:v>77</x:v>
      </x:c>
      <x:c r="G370" s="141" t="n">
        <x:v>78</x:v>
      </x:c>
      <x:c r="H370" s="141" t="n">
        <x:v>72.7</x:v>
      </x:c>
      <x:c r="I370" s="141" t="str">
        <x:v>Meets</x:v>
      </x:c>
      <x:c r="J370" s="141" t="str">
        <x:v>Yes</x:v>
      </x:c>
      <x:c r="K370" s="141" t="str">
        <x:v>Yes</x:v>
      </x:c>
    </x:row>
    <x:row r="371">
      <x:c r="A371" s="141" t="str">
        <x:v>PF-0374</x:v>
      </x:c>
      <x:c r="B371" s="141" t="str">
        <x:v>SG-29001082605</x:v>
      </x:c>
      <x:c r="C371" s="141" t="str">
        <x:v>Q4</x:v>
      </x:c>
      <x:c r="D371" s="141" t="str">
        <x:v>Sales Distribution and Service</x:v>
      </x:c>
      <x:c r="E371" s="141" t="n">
        <x:v>80</x:v>
      </x:c>
      <x:c r="F371" s="141" t="n">
        <x:v>92</x:v>
      </x:c>
      <x:c r="G371" s="141" t="n">
        <x:v>94</x:v>
      </x:c>
      <x:c r="H371" s="141" t="n">
        <x:v>87</x:v>
      </x:c>
      <x:c r="I371" s="141" t="str">
        <x:v>Exceeds</x:v>
      </x:c>
      <x:c r="J371" s="141" t="str">
        <x:v>Yes</x:v>
      </x:c>
      <x:c r="K371" s="141" t="str">
        <x:v>No</x:v>
      </x:c>
    </x:row>
    <x:row r="372">
      <x:c r="A372" s="141" t="str">
        <x:v>PF-0375</x:v>
      </x:c>
      <x:c r="B372" s="141" t="str">
        <x:v>SG-29008072606</x:v>
      </x:c>
      <x:c r="C372" s="141" t="str">
        <x:v>Q3</x:v>
      </x:c>
      <x:c r="D372" s="141" t="str">
        <x:v>Sales Distribution and Service</x:v>
      </x:c>
      <x:c r="E372" s="141" t="n">
        <x:v>80</x:v>
      </x:c>
      <x:c r="F372" s="141" t="n">
        <x:v>60</x:v>
      </x:c>
      <x:c r="G372" s="141" t="n">
        <x:v>86</x:v>
      </x:c>
      <x:c r="H372" s="141" t="n">
        <x:v>74.2</x:v>
      </x:c>
      <x:c r="I372" s="141" t="str">
        <x:v>Meets</x:v>
      </x:c>
      <x:c r="J372" s="141" t="str">
        <x:v>Yes</x:v>
      </x:c>
      <x:c r="K372" s="141" t="str">
        <x:v>Yes</x:v>
      </x:c>
    </x:row>
    <x:row r="373">
      <x:c r="A373" s="141" t="str">
        <x:v>PF-0376</x:v>
      </x:c>
      <x:c r="B373" s="141" t="str">
        <x:v>SG-29008072606</x:v>
      </x:c>
      <x:c r="C373" s="141" t="str">
        <x:v>Q4</x:v>
      </x:c>
      <x:c r="D373" s="141" t="str">
        <x:v>Sales Distribution and Service</x:v>
      </x:c>
      <x:c r="E373" s="141" t="n">
        <x:v>75</x:v>
      </x:c>
      <x:c r="F373" s="141" t="n">
        <x:v>84</x:v>
      </x:c>
      <x:c r="G373" s="141" t="n">
        <x:v>91</x:v>
      </x:c>
      <x:c r="H373" s="141" t="n">
        <x:v>81.3</x:v>
      </x:c>
      <x:c r="I373" s="141" t="str">
        <x:v>Exceeds</x:v>
      </x:c>
      <x:c r="J373" s="141" t="str">
        <x:v>Yes</x:v>
      </x:c>
      <x:c r="K373" s="141" t="str">
        <x:v>No</x:v>
      </x:c>
    </x:row>
    <x:row r="374">
      <x:c r="A374" s="141" t="str">
        <x:v>PF-0377</x:v>
      </x:c>
      <x:c r="B374" s="141" t="str">
        <x:v>SG-25008092608</x:v>
      </x:c>
      <x:c r="C374" s="141" t="str">
        <x:v>Q3</x:v>
      </x:c>
      <x:c r="D374" s="141" t="str">
        <x:v>Supply Chain and Planning</x:v>
      </x:c>
      <x:c r="E374" s="141" t="n">
        <x:v>72</x:v>
      </x:c>
      <x:c r="F374" s="141" t="n">
        <x:v>65</x:v>
      </x:c>
      <x:c r="G374" s="141" t="n">
        <x:v>80</x:v>
      </x:c>
      <x:c r="H374" s="141" t="n">
        <x:v>71.2</x:v>
      </x:c>
      <x:c r="I374" s="141" t="str">
        <x:v>Meets</x:v>
      </x:c>
      <x:c r="J374" s="141" t="str">
        <x:v>Yes</x:v>
      </x:c>
      <x:c r="K374" s="141" t="str">
        <x:v>Yes</x:v>
      </x:c>
    </x:row>
    <x:row r="375">
      <x:c r="A375" s="141" t="str">
        <x:v>PF-0378</x:v>
      </x:c>
      <x:c r="B375" s="141" t="str">
        <x:v>SG-25008092608</x:v>
      </x:c>
      <x:c r="C375" s="141" t="str">
        <x:v>Q4</x:v>
      </x:c>
      <x:c r="D375" s="141" t="str">
        <x:v>Supply Chain and Planning</x:v>
      </x:c>
      <x:c r="E375" s="141" t="n">
        <x:v>76</x:v>
      </x:c>
      <x:c r="F375" s="141" t="n">
        <x:v>90</x:v>
      </x:c>
      <x:c r="G375" s="141" t="n">
        <x:v>96</x:v>
      </x:c>
      <x:c r="H375" s="141" t="n">
        <x:v>84.9</x:v>
      </x:c>
      <x:c r="I375" s="141" t="str">
        <x:v>Exceeds</x:v>
      </x:c>
      <x:c r="J375" s="141" t="str">
        <x:v>Yes</x:v>
      </x:c>
      <x:c r="K375" s="141" t="str">
        <x:v>No</x:v>
      </x:c>
    </x:row>
    <x:row r="376">
      <x:c r="A376" s="141" t="str">
        <x:v>PF-0379</x:v>
      </x:c>
      <x:c r="B376" s="141" t="str">
        <x:v>SG-25028072609</x:v>
      </x:c>
      <x:c r="C376" s="141" t="str">
        <x:v>Q3</x:v>
      </x:c>
      <x:c r="D376" s="141" t="str">
        <x:v>Supply Chain and Planning</x:v>
      </x:c>
      <x:c r="E376" s="141" t="n">
        <x:v>82</x:v>
      </x:c>
      <x:c r="F376" s="141" t="n">
        <x:v>83</x:v>
      </x:c>
      <x:c r="G376" s="141" t="n">
        <x:v>92</x:v>
      </x:c>
      <x:c r="H376" s="141" t="n">
        <x:v>84.3</x:v>
      </x:c>
      <x:c r="I376" s="141" t="str">
        <x:v>Exceeds</x:v>
      </x:c>
      <x:c r="J376" s="141" t="str">
        <x:v>No</x:v>
      </x:c>
      <x:c r="K376" s="141" t="str">
        <x:v>No</x:v>
      </x:c>
    </x:row>
    <x:row r="377">
      <x:c r="A377" s="141" t="str">
        <x:v>PF-0380</x:v>
      </x:c>
      <x:c r="B377" s="141" t="str">
        <x:v>SG-25028072609</x:v>
      </x:c>
      <x:c r="C377" s="141" t="str">
        <x:v>Q4</x:v>
      </x:c>
      <x:c r="D377" s="141" t="str">
        <x:v>Supply Chain and Planning</x:v>
      </x:c>
      <x:c r="E377" s="141" t="n">
        <x:v>99</x:v>
      </x:c>
      <x:c r="F377" s="141" t="n">
        <x:v>100</x:v>
      </x:c>
      <x:c r="G377" s="141" t="n">
        <x:v>82</x:v>
      </x:c>
      <x:c r="H377" s="141" t="n">
        <x:v>96</x:v>
      </x:c>
      <x:c r="I377" s="141" t="str">
        <x:v>Exceptional</x:v>
      </x:c>
      <x:c r="J377" s="141" t="str">
        <x:v>Yes</x:v>
      </x:c>
      <x:c r="K377" s="141" t="str">
        <x:v>No</x:v>
      </x:c>
    </x:row>
    <x:row r="378">
      <x:c r="A378" s="141" t="str">
        <x:v>PF-0381</x:v>
      </x:c>
      <x:c r="B378" s="141" t="str">
        <x:v>SG-12724092608</x:v>
      </x:c>
      <x:c r="C378" s="141" t="str">
        <x:v>Q3</x:v>
      </x:c>
      <x:c r="D378" s="141" t="str">
        <x:v>Human Resources and People</x:v>
      </x:c>
      <x:c r="E378" s="141" t="n">
        <x:v>76</x:v>
      </x:c>
      <x:c r="F378" s="141" t="n">
        <x:v>78</x:v>
      </x:c>
      <x:c r="G378" s="141" t="n">
        <x:v>85</x:v>
      </x:c>
      <x:c r="H378" s="141" t="n">
        <x:v>78.5</x:v>
      </x:c>
      <x:c r="I378" s="141" t="str">
        <x:v>Meets</x:v>
      </x:c>
      <x:c r="J378" s="141" t="str">
        <x:v>Yes</x:v>
      </x:c>
      <x:c r="K378" s="141" t="str">
        <x:v>Yes</x:v>
      </x:c>
    </x:row>
    <x:row r="379">
      <x:c r="A379" s="141" t="str">
        <x:v>PF-0382</x:v>
      </x:c>
      <x:c r="B379" s="141" t="str">
        <x:v>SG-12724092608</x:v>
      </x:c>
      <x:c r="C379" s="141" t="str">
        <x:v>Q4</x:v>
      </x:c>
      <x:c r="D379" s="141" t="str">
        <x:v>Human Resources and People</x:v>
      </x:c>
      <x:c r="E379" s="141" t="n">
        <x:v>77</x:v>
      </x:c>
      <x:c r="F379" s="141" t="n">
        <x:v>91</x:v>
      </x:c>
      <x:c r="G379" s="141" t="n">
        <x:v>84</x:v>
      </x:c>
      <x:c r="H379" s="141" t="n">
        <x:v>83.3</x:v>
      </x:c>
      <x:c r="I379" s="141" t="str">
        <x:v>Exceeds</x:v>
      </x:c>
      <x:c r="J379" s="141" t="str">
        <x:v>Yes</x:v>
      </x:c>
      <x:c r="K379" s="141" t="str">
        <x:v>Yes</x:v>
      </x:c>
    </x:row>
    <x:row r="380">
      <x:c r="A380" s="141" t="str">
        <x:v>PF-0383</x:v>
      </x:c>
      <x:c r="B380" s="141" t="str">
        <x:v>SG-27005082605</x:v>
      </x:c>
      <x:c r="C380" s="141" t="str">
        <x:v>Q3</x:v>
      </x:c>
      <x:c r="D380" s="141" t="str">
        <x:v>Finance and Accounts</x:v>
      </x:c>
      <x:c r="E380" s="141" t="n">
        <x:v>99</x:v>
      </x:c>
      <x:c r="F380" s="141" t="n">
        <x:v>84</x:v>
      </x:c>
      <x:c r="G380" s="141" t="n">
        <x:v>75</x:v>
      </x:c>
      <x:c r="H380" s="141" t="n">
        <x:v>89</x:v>
      </x:c>
      <x:c r="I380" s="141" t="str">
        <x:v>Exceeds</x:v>
      </x:c>
      <x:c r="J380" s="141" t="str">
        <x:v>No</x:v>
      </x:c>
      <x:c r="K380" s="141" t="str">
        <x:v>No</x:v>
      </x:c>
    </x:row>
    <x:row r="381">
      <x:c r="A381" s="141" t="str">
        <x:v>PF-0384</x:v>
      </x:c>
      <x:c r="B381" s="141" t="str">
        <x:v>SG-27005082605</x:v>
      </x:c>
      <x:c r="C381" s="141" t="str">
        <x:v>Q4</x:v>
      </x:c>
      <x:c r="D381" s="141" t="str">
        <x:v>Finance and Accounts</x:v>
      </x:c>
      <x:c r="E381" s="141" t="n">
        <x:v>98</x:v>
      </x:c>
      <x:c r="F381" s="141" t="n">
        <x:v>95</x:v>
      </x:c>
      <x:c r="G381" s="141" t="n">
        <x:v>82</x:v>
      </x:c>
      <x:c r="H381" s="141" t="n">
        <x:v>93.8</x:v>
      </x:c>
      <x:c r="I381" s="141" t="str">
        <x:v>Exceptional</x:v>
      </x:c>
      <x:c r="J381" s="141" t="str">
        <x:v>Yes</x:v>
      </x:c>
      <x:c r="K381" s="141" t="str">
        <x:v>No</x:v>
      </x:c>
    </x:row>
    <x:row r="382">
      <x:c r="A382" s="141" t="str">
        <x:v>PF-0385</x:v>
      </x:c>
      <x:c r="B382" s="141" t="str">
        <x:v>SG-21011102668</x:v>
      </x:c>
      <x:c r="C382" s="141" t="str">
        <x:v>Q4</x:v>
      </x:c>
      <x:c r="D382" s="141" t="str">
        <x:v>Smartwatch Production</x:v>
      </x:c>
      <x:c r="E382" s="141" t="n">
        <x:v>91</x:v>
      </x:c>
      <x:c r="F382" s="141" t="n">
        <x:v>79</x:v>
      </x:c>
      <x:c r="G382" s="141" t="n">
        <x:v>100</x:v>
      </x:c>
      <x:c r="H382" s="141" t="n">
        <x:v>88.6</x:v>
      </x:c>
      <x:c r="I382" s="141" t="str">
        <x:v>Exceeds</x:v>
      </x:c>
      <x:c r="J382" s="141" t="str">
        <x:v>Yes</x:v>
      </x:c>
      <x:c r="K382" s="141" t="str">
        <x:v>Yes</x:v>
      </x:c>
    </x:row>
    <x:row r="383">
      <x:c r="A383" s="141" t="str">
        <x:v>PF-0386</x:v>
      </x:c>
      <x:c r="B383" s="141" t="str">
        <x:v>SG-21021102669</x:v>
      </x:c>
      <x:c r="C383" s="141" t="str">
        <x:v>Q4</x:v>
      </x:c>
      <x:c r="D383" s="141" t="str">
        <x:v>Smartwatch Production</x:v>
      </x:c>
      <x:c r="E383" s="141" t="n">
        <x:v>88</x:v>
      </x:c>
      <x:c r="F383" s="141" t="n">
        <x:v>87</x:v>
      </x:c>
      <x:c r="G383" s="141" t="n">
        <x:v>87</x:v>
      </x:c>
      <x:c r="H383" s="141" t="n">
        <x:v>87.5</x:v>
      </x:c>
      <x:c r="I383" s="141" t="str">
        <x:v>Exceeds</x:v>
      </x:c>
      <x:c r="J383" s="141" t="str">
        <x:v>Yes</x:v>
      </x:c>
      <x:c r="K383" s="141" t="str">
        <x:v>No</x:v>
      </x:c>
    </x:row>
    <x:row r="384">
      <x:c r="A384" s="141" t="str">
        <x:v>PF-0387</x:v>
      </x:c>
      <x:c r="B384" s="141" t="str">
        <x:v>SG-21011122670</x:v>
      </x:c>
      <x:c r="C384" s="141" t="str">
        <x:v>Q4</x:v>
      </x:c>
      <x:c r="D384" s="141" t="str">
        <x:v>Smartwatch Production</x:v>
      </x:c>
      <x:c r="E384" s="141" t="n">
        <x:v>86</x:v>
      </x:c>
      <x:c r="F384" s="141" t="n">
        <x:v>83</x:v>
      </x:c>
      <x:c r="G384" s="141" t="n">
        <x:v>94</x:v>
      </x:c>
      <x:c r="H384" s="141" t="n">
        <x:v>86.5</x:v>
      </x:c>
      <x:c r="I384" s="141" t="str">
        <x:v>Exceeds</x:v>
      </x:c>
      <x:c r="J384" s="141" t="str">
        <x:v>Yes</x:v>
      </x:c>
      <x:c r="K384" s="141" t="str">
        <x:v>No</x:v>
      </x:c>
    </x:row>
    <x:row r="385">
      <x:c r="A385" s="141" t="str">
        <x:v>PF-0388</x:v>
      </x:c>
      <x:c r="B385" s="141" t="str">
        <x:v>SG-21025102671</x:v>
      </x:c>
      <x:c r="C385" s="141" t="str">
        <x:v>Q4</x:v>
      </x:c>
      <x:c r="D385" s="141" t="str">
        <x:v>Smartwatch Production</x:v>
      </x:c>
      <x:c r="E385" s="141" t="n">
        <x:v>70</x:v>
      </x:c>
      <x:c r="F385" s="141" t="n">
        <x:v>86</x:v>
      </x:c>
      <x:c r="G385" s="141" t="n">
        <x:v>94</x:v>
      </x:c>
      <x:c r="H385" s="141" t="n">
        <x:v>80.4</x:v>
      </x:c>
      <x:c r="I385" s="141" t="str">
        <x:v>Exceeds</x:v>
      </x:c>
      <x:c r="J385" s="141" t="str">
        <x:v>Yes</x:v>
      </x:c>
      <x:c r="K385" s="141" t="str">
        <x:v>No</x:v>
      </x:c>
    </x:row>
    <x:row r="386">
      <x:c r="A386" s="141" t="str">
        <x:v>PF-0389</x:v>
      </x:c>
      <x:c r="B386" s="141" t="str">
        <x:v>SG-21007122672</x:v>
      </x:c>
      <x:c r="C386" s="141" t="str">
        <x:v>Q4</x:v>
      </x:c>
      <x:c r="D386" s="141" t="str">
        <x:v>Smartwatch Production</x:v>
      </x:c>
      <x:c r="E386" s="141" t="n">
        <x:v>68</x:v>
      </x:c>
      <x:c r="F386" s="141" t="n">
        <x:v>89</x:v>
      </x:c>
      <x:c r="G386" s="141" t="n">
        <x:v>79</x:v>
      </x:c>
      <x:c r="H386" s="141" t="n">
        <x:v>77.5</x:v>
      </x:c>
      <x:c r="I386" s="141" t="str">
        <x:v>Meets</x:v>
      </x:c>
      <x:c r="J386" s="141" t="str">
        <x:v>Yes</x:v>
      </x:c>
      <x:c r="K386" s="141" t="str">
        <x:v>Yes</x:v>
      </x:c>
    </x:row>
    <x:row r="387">
      <x:c r="A387" s="141" t="str">
        <x:v>PF-0390</x:v>
      </x:c>
      <x:c r="B387" s="141" t="str">
        <x:v>SG-21007102673</x:v>
      </x:c>
      <x:c r="C387" s="141" t="str">
        <x:v>Q4</x:v>
      </x:c>
      <x:c r="D387" s="141" t="str">
        <x:v>Smartwatch Production</x:v>
      </x:c>
      <x:c r="E387" s="141" t="n">
        <x:v>91</x:v>
      </x:c>
      <x:c r="F387" s="141" t="n">
        <x:v>78</x:v>
      </x:c>
      <x:c r="G387" s="141" t="n">
        <x:v>89</x:v>
      </x:c>
      <x:c r="H387" s="141" t="n">
        <x:v>86</x:v>
      </x:c>
      <x:c r="I387" s="141" t="str">
        <x:v>Exceeds</x:v>
      </x:c>
      <x:c r="J387" s="141" t="str">
        <x:v>Yes</x:v>
      </x:c>
      <x:c r="K387" s="141" t="str">
        <x:v>No</x:v>
      </x:c>
    </x:row>
    <x:row r="388">
      <x:c r="A388" s="141" t="str">
        <x:v>PF-0391</x:v>
      </x:c>
      <x:c r="B388" s="141" t="str">
        <x:v>SG-21004122674</x:v>
      </x:c>
      <x:c r="C388" s="141" t="str">
        <x:v>Q4</x:v>
      </x:c>
      <x:c r="D388" s="141" t="str">
        <x:v>Smartwatch Production</x:v>
      </x:c>
      <x:c r="E388" s="141" t="n">
        <x:v>86</x:v>
      </x:c>
      <x:c r="F388" s="141" t="n">
        <x:v>73</x:v>
      </x:c>
      <x:c r="G388" s="141" t="n">
        <x:v>99</x:v>
      </x:c>
      <x:c r="H388" s="141" t="n">
        <x:v>84</x:v>
      </x:c>
      <x:c r="I388" s="141" t="str">
        <x:v>Exceeds</x:v>
      </x:c>
      <x:c r="J388" s="141" t="str">
        <x:v>Yes</x:v>
      </x:c>
      <x:c r="K388" s="141" t="str">
        <x:v>No</x:v>
      </x:c>
    </x:row>
    <x:row r="389">
      <x:c r="A389" s="141" t="str">
        <x:v>PF-0392</x:v>
      </x:c>
      <x:c r="B389" s="141" t="str">
        <x:v>SG-21020112675</x:v>
      </x:c>
      <x:c r="C389" s="141" t="str">
        <x:v>Q4</x:v>
      </x:c>
      <x:c r="D389" s="141" t="str">
        <x:v>Smartwatch Production</x:v>
      </x:c>
      <x:c r="E389" s="141" t="n">
        <x:v>86</x:v>
      </x:c>
      <x:c r="F389" s="141" t="n">
        <x:v>88</x:v>
      </x:c>
      <x:c r="G389" s="141" t="n">
        <x:v>86</x:v>
      </x:c>
      <x:c r="H389" s="141" t="n">
        <x:v>86.7</x:v>
      </x:c>
      <x:c r="I389" s="141" t="str">
        <x:v>Exceeds</x:v>
      </x:c>
      <x:c r="J389" s="141" t="str">
        <x:v>Yes</x:v>
      </x:c>
      <x:c r="K389" s="141" t="str">
        <x:v>Yes</x:v>
      </x:c>
    </x:row>
    <x:row r="390">
      <x:c r="A390" s="141" t="str">
        <x:v>PF-0393</x:v>
      </x:c>
      <x:c r="B390" s="141" t="str">
        <x:v>SG-22023102618</x:v>
      </x:c>
      <x:c r="C390" s="141" t="str">
        <x:v>Q4</x:v>
      </x:c>
      <x:c r="D390" s="141" t="str">
        <x:v>Quality Assurance</x:v>
      </x:c>
      <x:c r="E390" s="141" t="n">
        <x:v>86</x:v>
      </x:c>
      <x:c r="F390" s="141" t="n">
        <x:v>86</x:v>
      </x:c>
      <x:c r="G390" s="141" t="n">
        <x:v>86</x:v>
      </x:c>
      <x:c r="H390" s="141" t="n">
        <x:v>86</x:v>
      </x:c>
      <x:c r="I390" s="141" t="str">
        <x:v>Exceeds</x:v>
      </x:c>
      <x:c r="J390" s="141" t="str">
        <x:v>Yes</x:v>
      </x:c>
      <x:c r="K390" s="141" t="str">
        <x:v>No</x:v>
      </x:c>
    </x:row>
    <x:row r="391">
      <x:c r="A391" s="141" t="str">
        <x:v>PF-0394</x:v>
      </x:c>
      <x:c r="B391" s="141" t="str">
        <x:v>SG-22029112619</x:v>
      </x:c>
      <x:c r="C391" s="141" t="str">
        <x:v>Q4</x:v>
      </x:c>
      <x:c r="D391" s="141" t="str">
        <x:v>Quality Assurance</x:v>
      </x:c>
      <x:c r="E391" s="141" t="n">
        <x:v>98</x:v>
      </x:c>
      <x:c r="F391" s="141" t="n">
        <x:v>83</x:v>
      </x:c>
      <x:c r="G391" s="141" t="n">
        <x:v>94</x:v>
      </x:c>
      <x:c r="H391" s="141" t="n">
        <x:v>92</x:v>
      </x:c>
      <x:c r="I391" s="141" t="str">
        <x:v>Exceptional</x:v>
      </x:c>
      <x:c r="J391" s="141" t="str">
        <x:v>Yes</x:v>
      </x:c>
      <x:c r="K391" s="141" t="str">
        <x:v>Yes</x:v>
      </x:c>
    </x:row>
    <x:row r="392">
      <x:c r="A392" s="141" t="str">
        <x:v>PF-0395</x:v>
      </x:c>
      <x:c r="B392" s="141" t="str">
        <x:v>SG-23001102614</x:v>
      </x:c>
      <x:c r="C392" s="141" t="str">
        <x:v>Q4</x:v>
      </x:c>
      <x:c r="D392" s="141" t="str">
        <x:v>Engineering and Maintenance</x:v>
      </x:c>
      <x:c r="E392" s="141" t="n">
        <x:v>100</x:v>
      </x:c>
      <x:c r="F392" s="141" t="n">
        <x:v>94</x:v>
      </x:c>
      <x:c r="G392" s="141" t="n">
        <x:v>97</x:v>
      </x:c>
      <x:c r="H392" s="141" t="n">
        <x:v>97.3</x:v>
      </x:c>
      <x:c r="I392" s="141" t="str">
        <x:v>Exceptional</x:v>
      </x:c>
      <x:c r="J392" s="141" t="str">
        <x:v>Yes</x:v>
      </x:c>
      <x:c r="K392" s="141" t="str">
        <x:v>Yes</x:v>
      </x:c>
    </x:row>
    <x:row r="393">
      <x:c r="A393" s="141" t="str">
        <x:v>PF-0396</x:v>
      </x:c>
      <x:c r="B393" s="141" t="str">
        <x:v>SG-23004112615</x:v>
      </x:c>
      <x:c r="C393" s="141" t="str">
        <x:v>Q4</x:v>
      </x:c>
      <x:c r="D393" s="141" t="str">
        <x:v>Engineering and Maintenance</x:v>
      </x:c>
      <x:c r="E393" s="141" t="n">
        <x:v>86</x:v>
      </x:c>
      <x:c r="F393" s="141" t="n">
        <x:v>98</x:v>
      </x:c>
      <x:c r="G393" s="141" t="n">
        <x:v>98</x:v>
      </x:c>
      <x:c r="H393" s="141" t="n">
        <x:v>92.6</x:v>
      </x:c>
      <x:c r="I393" s="141" t="str">
        <x:v>Exceptional</x:v>
      </x:c>
      <x:c r="J393" s="141" t="str">
        <x:v>Yes</x:v>
      </x:c>
      <x:c r="K393" s="141" t="str">
        <x:v>No</x:v>
      </x:c>
    </x:row>
    <x:row r="394">
      <x:c r="A394" s="141" t="str">
        <x:v>PF-0397</x:v>
      </x:c>
      <x:c r="B394" s="141" t="str">
        <x:v>SG-24017102613</x:v>
      </x:c>
      <x:c r="C394" s="141" t="str">
        <x:v>Q4</x:v>
      </x:c>
      <x:c r="D394" s="141" t="str">
        <x:v>Research and Development</x:v>
      </x:c>
      <x:c r="E394" s="141" t="n">
        <x:v>87</x:v>
      </x:c>
      <x:c r="F394" s="141" t="n">
        <x:v>88</x:v>
      </x:c>
      <x:c r="G394" s="141" t="n">
        <x:v>92</x:v>
      </x:c>
      <x:c r="H394" s="141" t="n">
        <x:v>88.3</x:v>
      </x:c>
      <x:c r="I394" s="141" t="str">
        <x:v>Exceeds</x:v>
      </x:c>
      <x:c r="J394" s="141" t="str">
        <x:v>Yes</x:v>
      </x:c>
      <x:c r="K394" s="141" t="str">
        <x:v>Yes</x:v>
      </x:c>
    </x:row>
    <x:row r="395">
      <x:c r="A395" s="141" t="str">
        <x:v>PF-0398</x:v>
      </x:c>
      <x:c r="B395" s="141" t="str">
        <x:v>SG-24024102614</x:v>
      </x:c>
      <x:c r="C395" s="141" t="str">
        <x:v>Q4</x:v>
      </x:c>
      <x:c r="D395" s="141" t="str">
        <x:v>Research and Development</x:v>
      </x:c>
      <x:c r="E395" s="141" t="n">
        <x:v>77</x:v>
      </x:c>
      <x:c r="F395" s="141" t="n">
        <x:v>84</x:v>
      </x:c>
      <x:c r="G395" s="141" t="n">
        <x:v>80</x:v>
      </x:c>
      <x:c r="H395" s="141" t="n">
        <x:v>80</x:v>
      </x:c>
      <x:c r="I395" s="141" t="str">
        <x:v>Exceeds</x:v>
      </x:c>
      <x:c r="J395" s="141" t="str">
        <x:v>Yes</x:v>
      </x:c>
      <x:c r="K395" s="141" t="str">
        <x:v>No</x:v>
      </x:c>
    </x:row>
    <x:row r="396">
      <x:c r="A396" s="141" t="str">
        <x:v>PF-0399</x:v>
      </x:c>
      <x:c r="B396" s="141" t="str">
        <x:v>SG-29031102607</x:v>
      </x:c>
      <x:c r="C396" s="141" t="str">
        <x:v>Q4</x:v>
      </x:c>
      <x:c r="D396" s="141" t="str">
        <x:v>Sales Distribution and Service</x:v>
      </x:c>
      <x:c r="E396" s="141" t="n">
        <x:v>74</x:v>
      </x:c>
      <x:c r="F396" s="141" t="n">
        <x:v>91</x:v>
      </x:c>
      <x:c r="G396" s="141" t="n">
        <x:v>66</x:v>
      </x:c>
      <x:c r="H396" s="141" t="n">
        <x:v>78.4</x:v>
      </x:c>
      <x:c r="I396" s="141" t="str">
        <x:v>Meets</x:v>
      </x:c>
      <x:c r="J396" s="141" t="str">
        <x:v>Yes</x:v>
      </x:c>
      <x:c r="K396" s="141" t="str">
        <x:v>Yes</x:v>
      </x:c>
    </x:row>
    <x:row r="397">
      <x:c r="A397" s="141" t="str">
        <x:v>PF-0400</x:v>
      </x:c>
      <x:c r="B397" s="141" t="str">
        <x:v>SG-29013102608</x:v>
      </x:c>
      <x:c r="C397" s="141" t="str">
        <x:v>Q4</x:v>
      </x:c>
      <x:c r="D397" s="141" t="str">
        <x:v>Sales Distribution and Service</x:v>
      </x:c>
      <x:c r="E397" s="141" t="n">
        <x:v>100</x:v>
      </x:c>
      <x:c r="F397" s="141" t="n">
        <x:v>78</x:v>
      </x:c>
      <x:c r="G397" s="141" t="n">
        <x:v>100</x:v>
      </x:c>
      <x:c r="H397" s="141" t="n">
        <x:v>92.3</x:v>
      </x:c>
      <x:c r="I397" s="141" t="str">
        <x:v>Exceptional</x:v>
      </x:c>
      <x:c r="J397" s="141" t="str">
        <x:v>Yes</x:v>
      </x:c>
      <x:c r="K397" s="141" t="str">
        <x:v>No</x:v>
      </x:c>
    </x:row>
    <x:row r="398">
      <x:c r="A398" s="141" t="str">
        <x:v>PF-0401</x:v>
      </x:c>
      <x:c r="B398" s="141" t="str">
        <x:v>SG-12718112609</x:v>
      </x:c>
      <x:c r="C398" s="141" t="str">
        <x:v>Q4</x:v>
      </x:c>
      <x:c r="D398" s="141" t="str">
        <x:v>Human Resources and People</x:v>
      </x:c>
      <x:c r="E398" s="141" t="n">
        <x:v>88</x:v>
      </x:c>
      <x:c r="F398" s="141" t="n">
        <x:v>72</x:v>
      </x:c>
      <x:c r="G398" s="141" t="n">
        <x:v>89</x:v>
      </x:c>
      <x:c r="H398" s="141" t="n">
        <x:v>82.6</x:v>
      </x:c>
      <x:c r="I398" s="141" t="str">
        <x:v>Exceeds</x:v>
      </x:c>
      <x:c r="J398" s="141" t="str">
        <x:v>Yes</x:v>
      </x:c>
      <x:c r="K398" s="141" t="str">
        <x:v>No</x:v>
      </x:c>
    </x:row>
    <x:row r="399">
      <x:c r="A399" s="141" t="str">
        <x:v>PF-0402</x:v>
      </x:c>
      <x:c r="B399" s="141" t="str">
        <x:v>SG-28025112609</x:v>
      </x:c>
      <x:c r="C399" s="141" t="str">
        <x:v>Q4</x:v>
      </x:c>
      <x:c r="D399" s="141" t="str">
        <x:v>IT Data and HRIS</x:v>
      </x:c>
      <x:c r="E399" s="141" t="n">
        <x:v>99</x:v>
      </x:c>
      <x:c r="F399" s="141" t="n">
        <x:v>100</x:v>
      </x:c>
      <x:c r="G399" s="141" t="n">
        <x:v>95</x:v>
      </x:c>
      <x:c r="H399" s="141" t="n">
        <x:v>98.6</x:v>
      </x:c>
      <x:c r="I399" s="141" t="str">
        <x:v>Exceptional</x:v>
      </x:c>
      <x:c r="J399" s="141" t="str">
        <x:v>Yes</x:v>
      </x:c>
      <x:c r="K399" s="141" t="str">
        <x:v>No</x:v>
      </x:c>
    </x:row>
  </x:sheetData>
  <x:mergeCells>
    <x:mergeCell ref="A1:K2"/>
    <x:mergeCell ref="A3:K3"/>
  </x:mergeCells>
  <x:conditionalFormatting sqref="E6:E399">
    <x:cfRule type="colorScale" priority="1">
      <x:colorScale>
        <x:cfvo type="min"/>
        <x:cfvo type="percentile" val="50"/>
        <x:cfvo type="max"/>
        <x:color rgb="FFFEE2E2"/>
        <x:color rgb="FFFEF3C7"/>
        <x:color rgb="FFDCFCE7"/>
      </x:colorScale>
    </x:cfRule>
  </x:conditionalFormatting>
  <x:conditionalFormatting sqref="F6:F399">
    <x:cfRule type="colorScale" priority="2">
      <x:colorScale>
        <x:cfvo type="min"/>
        <x:cfvo type="percentile" val="50"/>
        <x:cfvo type="max"/>
        <x:color rgb="FFFEE2E2"/>
        <x:color rgb="FFFEF3C7"/>
        <x:color rgb="FFDCFCE7"/>
      </x:colorScale>
    </x:cfRule>
  </x:conditionalFormatting>
  <x:conditionalFormatting sqref="G6:G399">
    <x:cfRule type="colorScale" priority="3">
      <x:colorScale>
        <x:cfvo type="min"/>
        <x:cfvo type="percentile" val="50"/>
        <x:cfvo type="max"/>
        <x:color rgb="FFFEE2E2"/>
        <x:color rgb="FFFEF3C7"/>
        <x:color rgb="FFDCFCE7"/>
      </x:colorScale>
    </x:cfRule>
  </x:conditionalFormatting>
  <x:conditionalFormatting sqref="H6:H399">
    <x:cfRule type="colorScale" priority="4">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2b613cf859a94b3a"/>
  </x:tableParts>
</x:worksheet>
</file>

<file path=xl/worksheets/sheet12.xml><?xml version="1.0" encoding="utf-8"?>
<x:worksheet xmlns:x="http://schemas.openxmlformats.org/spreadsheetml/2006/main">
  <x:sheetFormatPr defaultRowHeight="15"/>
  <x:cols>
    <x:col min="1" max="1" width="13" hidden="0" customWidth="1"/>
    <x:col min="2" max="2" width="13" hidden="0" customWidth="1"/>
    <x:col min="3" max="3" width="30"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x:c r="A1" s="88" t="str">
        <x:v>Department-Level Attendance and Workload</x:v>
      </x:c>
      <x:c r="B1" s="88"/>
      <x:c r="C1" s="88"/>
      <x:c r="D1" s="88"/>
      <x:c r="E1" s="88"/>
      <x:c r="F1" s="88"/>
      <x:c r="G1" s="88"/>
      <x:c r="H1" s="88"/>
      <x:c r="I1" s="88"/>
      <x:c r="J1" s="88"/>
    </x:row>
    <x:row r="2">
      <x:c r="A2" s="88"/>
      <x:c r="B2" s="88"/>
      <x:c r="C2" s="88"/>
      <x:c r="D2" s="88"/>
      <x:c r="E2" s="88"/>
      <x:c r="F2" s="88"/>
      <x:c r="G2" s="88"/>
      <x:c r="H2" s="88"/>
      <x:c r="I2" s="88"/>
      <x:c r="J2" s="88"/>
    </x:row>
    <x:row r="3">
      <x:c r="A3" s="13" t="str">
        <x:v>Monthly absence, overtime, lateness and safety indicators help test whether the workforce reset shifts risk to remaining employees.</x:v>
      </x:c>
      <x:c r="B3" s="13"/>
      <x:c r="C3" s="13"/>
      <x:c r="D3" s="13"/>
      <x:c r="E3" s="13"/>
      <x:c r="F3" s="13"/>
      <x:c r="G3" s="13"/>
      <x:c r="H3" s="13"/>
      <x:c r="I3" s="13"/>
      <x:c r="J3" s="13"/>
    </x:row>
    <x:row r="5" ht="30" customHeight="1">
      <x:c r="A5" s="135" t="str">
        <x:v>Month</x:v>
      </x:c>
      <x:c r="B5" s="135" t="str">
        <x:v>Quarter</x:v>
      </x:c>
      <x:c r="C5" s="135" t="str">
        <x:v>Department</x:v>
      </x:c>
      <x:c r="D5" s="135" t="str">
        <x:v>Active_Headcount</x:v>
      </x:c>
      <x:c r="E5" s="135" t="str">
        <x:v>Scheduled_Work_Days</x:v>
      </x:c>
      <x:c r="F5" s="135" t="str">
        <x:v>Absent_Days</x:v>
      </x:c>
      <x:c r="G5" s="135" t="str">
        <x:v>Absence_Rate</x:v>
      </x:c>
      <x:c r="H5" s="135" t="str">
        <x:v>Average_Overtime_Hours_per_Employee</x:v>
      </x:c>
      <x:c r="I5" s="135" t="str">
        <x:v>Late_Incidents</x:v>
      </x:c>
      <x:c r="J5" s="135" t="str">
        <x:v>Safety_Incidents</x:v>
      </x:c>
    </x:row>
    <x:row r="6">
      <x:c r="A6" s="171" t="n">
        <x:v>46023</x:v>
      </x:c>
      <x:c r="B6" s="141" t="str">
        <x:v>Q1</x:v>
      </x:c>
      <x:c r="C6" s="141" t="str">
        <x:v>Human Resources and People</x:v>
      </x:c>
      <x:c r="D6" s="141" t="n">
        <x:v>4</x:v>
      </x:c>
      <x:c r="E6" s="141" t="n">
        <x:v>104</x:v>
      </x:c>
      <x:c r="F6" s="141" t="n">
        <x:v>7</x:v>
      </x:c>
      <x:c r="G6" s="175" t="n">
        <x:v>0.067</x:v>
      </x:c>
      <x:c r="H6" s="141" t="n">
        <x:v>16.8</x:v>
      </x:c>
      <x:c r="I6" s="141" t="n">
        <x:v>1</x:v>
      </x:c>
      <x:c r="J6" s="141" t="n">
        <x:v>0</x:v>
      </x:c>
    </x:row>
    <x:row r="7">
      <x:c r="A7" s="171" t="n">
        <x:v>46023</x:v>
      </x:c>
      <x:c r="B7" s="141" t="str">
        <x:v>Q1</x:v>
      </x:c>
      <x:c r="C7" s="141" t="str">
        <x:v>Smartwatch Production</x:v>
      </x:c>
      <x:c r="D7" s="141" t="n">
        <x:v>45</x:v>
      </x:c>
      <x:c r="E7" s="141" t="n">
        <x:v>1170</x:v>
      </x:c>
      <x:c r="F7" s="141" t="n">
        <x:v>84.8</x:v>
      </x:c>
      <x:c r="G7" s="175" t="n">
        <x:v>0.0725</x:v>
      </x:c>
      <x:c r="H7" s="141" t="n">
        <x:v>19.6</x:v>
      </x:c>
      <x:c r="I7" s="141" t="n">
        <x:v>15</x:v>
      </x:c>
      <x:c r="J7" s="141" t="n">
        <x:v>1</x:v>
      </x:c>
    </x:row>
    <x:row r="8">
      <x:c r="A8" s="171" t="n">
        <x:v>46023</x:v>
      </x:c>
      <x:c r="B8" s="141" t="str">
        <x:v>Q1</x:v>
      </x:c>
      <x:c r="C8" s="141" t="str">
        <x:v>Quality Assurance</x:v>
      </x:c>
      <x:c r="D8" s="141" t="n">
        <x:v>10</x:v>
      </x:c>
      <x:c r="E8" s="141" t="n">
        <x:v>260</x:v>
      </x:c>
      <x:c r="F8" s="141" t="n">
        <x:v>17.1</x:v>
      </x:c>
      <x:c r="G8" s="175" t="n">
        <x:v>0.06570000000000001</x:v>
      </x:c>
      <x:c r="H8" s="141" t="n">
        <x:v>24.6</x:v>
      </x:c>
      <x:c r="I8" s="141" t="n">
        <x:v>0</x:v>
      </x:c>
      <x:c r="J8" s="141" t="n">
        <x:v>0</x:v>
      </x:c>
    </x:row>
    <x:row r="9">
      <x:c r="A9" s="171" t="n">
        <x:v>46023</x:v>
      </x:c>
      <x:c r="B9" s="141" t="str">
        <x:v>Q1</x:v>
      </x:c>
      <x:c r="C9" s="141" t="str">
        <x:v>Engineering and Maintenance</x:v>
      </x:c>
      <x:c r="D9" s="141" t="n">
        <x:v>8</x:v>
      </x:c>
      <x:c r="E9" s="141" t="n">
        <x:v>208</x:v>
      </x:c>
      <x:c r="F9" s="141" t="n">
        <x:v>15.1</x:v>
      </x:c>
      <x:c r="G9" s="175" t="n">
        <x:v>0.0726</x:v>
      </x:c>
      <x:c r="H9" s="141" t="n">
        <x:v>19.2</x:v>
      </x:c>
      <x:c r="I9" s="141" t="n">
        <x:v>4</x:v>
      </x:c>
      <x:c r="J9" s="141" t="n">
        <x:v>0</x:v>
      </x:c>
    </x:row>
    <x:row r="10">
      <x:c r="A10" s="171" t="n">
        <x:v>46023</x:v>
      </x:c>
      <x:c r="B10" s="141" t="str">
        <x:v>Q1</x:v>
      </x:c>
      <x:c r="C10" s="141" t="str">
        <x:v>Research and Development</x:v>
      </x:c>
      <x:c r="D10" s="141" t="n">
        <x:v>7</x:v>
      </x:c>
      <x:c r="E10" s="141" t="n">
        <x:v>182</x:v>
      </x:c>
      <x:c r="F10" s="141" t="n">
        <x:v>12.5</x:v>
      </x:c>
      <x:c r="G10" s="175" t="n">
        <x:v>0.0689</x:v>
      </x:c>
      <x:c r="H10" s="141" t="n">
        <x:v>17.5</x:v>
      </x:c>
      <x:c r="I10" s="141" t="n">
        <x:v>1</x:v>
      </x:c>
      <x:c r="J10" s="141" t="n">
        <x:v>0</x:v>
      </x:c>
    </x:row>
    <x:row r="11">
      <x:c r="A11" s="171" t="n">
        <x:v>46023</x:v>
      </x:c>
      <x:c r="B11" s="141" t="str">
        <x:v>Q1</x:v>
      </x:c>
      <x:c r="C11" s="141" t="str">
        <x:v>Supply Chain and Planning</x:v>
      </x:c>
      <x:c r="D11" s="141" t="n">
        <x:v>6</x:v>
      </x:c>
      <x:c r="E11" s="141" t="n">
        <x:v>156</x:v>
      </x:c>
      <x:c r="F11" s="141" t="n">
        <x:v>12.1</x:v>
      </x:c>
      <x:c r="G11" s="175" t="n">
        <x:v>0.07730000000000001</x:v>
      </x:c>
      <x:c r="H11" s="141" t="n">
        <x:v>21.8</x:v>
      </x:c>
      <x:c r="I11" s="141" t="n">
        <x:v>5</x:v>
      </x:c>
      <x:c r="J11" s="141" t="n">
        <x:v>1</x:v>
      </x:c>
    </x:row>
    <x:row r="12">
      <x:c r="A12" s="171" t="n">
        <x:v>46023</x:v>
      </x:c>
      <x:c r="B12" s="141" t="str">
        <x:v>Q1</x:v>
      </x:c>
      <x:c r="C12" s="141" t="str">
        <x:v>Procurement</x:v>
      </x:c>
      <x:c r="D12" s="141" t="n">
        <x:v>4</x:v>
      </x:c>
      <x:c r="E12" s="141" t="n">
        <x:v>104</x:v>
      </x:c>
      <x:c r="F12" s="141" t="n">
        <x:v>6.4</x:v>
      </x:c>
      <x:c r="G12" s="175" t="n">
        <x:v>0.0611</x:v>
      </x:c>
      <x:c r="H12" s="141" t="n">
        <x:v>16.6</x:v>
      </x:c>
      <x:c r="I12" s="141" t="n">
        <x:v>2</x:v>
      </x:c>
      <x:c r="J12" s="141" t="n">
        <x:v>0</x:v>
      </x:c>
    </x:row>
    <x:row r="13">
      <x:c r="A13" s="171" t="n">
        <x:v>46023</x:v>
      </x:c>
      <x:c r="B13" s="141" t="str">
        <x:v>Q1</x:v>
      </x:c>
      <x:c r="C13" s="141" t="str">
        <x:v>Finance and Accounts</x:v>
      </x:c>
      <x:c r="D13" s="141" t="n">
        <x:v>4</x:v>
      </x:c>
      <x:c r="E13" s="141" t="n">
        <x:v>104</x:v>
      </x:c>
      <x:c r="F13" s="141" t="n">
        <x:v>6.6</x:v>
      </x:c>
      <x:c r="G13" s="175" t="n">
        <x:v>0.0638</x:v>
      </x:c>
      <x:c r="H13" s="141" t="n">
        <x:v>15.6</x:v>
      </x:c>
      <x:c r="I13" s="141" t="n">
        <x:v>0</x:v>
      </x:c>
      <x:c r="J13" s="141" t="n">
        <x:v>0</x:v>
      </x:c>
    </x:row>
    <x:row r="14">
      <x:c r="A14" s="171" t="n">
        <x:v>46023</x:v>
      </x:c>
      <x:c r="B14" s="141" t="str">
        <x:v>Q1</x:v>
      </x:c>
      <x:c r="C14" s="141" t="str">
        <x:v>IT Data and HRIS</x:v>
      </x:c>
      <x:c r="D14" s="141" t="n">
        <x:v>4</x:v>
      </x:c>
      <x:c r="E14" s="141" t="n">
        <x:v>104</x:v>
      </x:c>
      <x:c r="F14" s="141" t="n">
        <x:v>6</x:v>
      </x:c>
      <x:c r="G14" s="175" t="n">
        <x:v>0.0574</x:v>
      </x:c>
      <x:c r="H14" s="141" t="n">
        <x:v>15.6</x:v>
      </x:c>
      <x:c r="I14" s="141" t="n">
        <x:v>0</x:v>
      </x:c>
      <x:c r="J14" s="141" t="n">
        <x:v>0</x:v>
      </x:c>
    </x:row>
    <x:row r="15">
      <x:c r="A15" s="171" t="n">
        <x:v>46023</x:v>
      </x:c>
      <x:c r="B15" s="141" t="str">
        <x:v>Q1</x:v>
      </x:c>
      <x:c r="C15" s="141" t="str">
        <x:v>Sales Distribution and Service</x:v>
      </x:c>
      <x:c r="D15" s="141" t="n">
        <x:v>4</x:v>
      </x:c>
      <x:c r="E15" s="141" t="n">
        <x:v>104</x:v>
      </x:c>
      <x:c r="F15" s="141" t="n">
        <x:v>6.9</x:v>
      </x:c>
      <x:c r="G15" s="175" t="n">
        <x:v>0.0662</x:v>
      </x:c>
      <x:c r="H15" s="141" t="n">
        <x:v>11</x:v>
      </x:c>
      <x:c r="I15" s="141" t="n">
        <x:v>0</x:v>
      </x:c>
      <x:c r="J15" s="141" t="n">
        <x:v>0</x:v>
      </x:c>
    </x:row>
    <x:row r="16">
      <x:c r="A16" s="171" t="n">
        <x:v>46023</x:v>
      </x:c>
      <x:c r="B16" s="141" t="str">
        <x:v>Q1</x:v>
      </x:c>
      <x:c r="C16" s="141" t="str">
        <x:v>EHS and Regulatory Compliance</x:v>
      </x:c>
      <x:c r="D16" s="141" t="n">
        <x:v>2</x:v>
      </x:c>
      <x:c r="E16" s="141" t="n">
        <x:v>52</x:v>
      </x:c>
      <x:c r="F16" s="141" t="n">
        <x:v>3.3</x:v>
      </x:c>
      <x:c r="G16" s="175" t="n">
        <x:v>0.0626</x:v>
      </x:c>
      <x:c r="H16" s="141" t="n">
        <x:v>12.9</x:v>
      </x:c>
      <x:c r="I16" s="141" t="n">
        <x:v>2</x:v>
      </x:c>
      <x:c r="J16" s="141" t="n">
        <x:v>0</x:v>
      </x:c>
    </x:row>
    <x:row r="17">
      <x:c r="A17" s="171" t="n">
        <x:v>46023</x:v>
      </x:c>
      <x:c r="B17" s="141" t="str">
        <x:v>Q1</x:v>
      </x:c>
      <x:c r="C17" s="141" t="str">
        <x:v>Administration and Security</x:v>
      </x:c>
      <x:c r="D17" s="141" t="n">
        <x:v>2</x:v>
      </x:c>
      <x:c r="E17" s="141" t="n">
        <x:v>52</x:v>
      </x:c>
      <x:c r="F17" s="141" t="n">
        <x:v>3.2</x:v>
      </x:c>
      <x:c r="G17" s="175" t="n">
        <x:v>0.062</x:v>
      </x:c>
      <x:c r="H17" s="141" t="n">
        <x:v>10.9</x:v>
      </x:c>
      <x:c r="I17" s="141" t="n">
        <x:v>0</x:v>
      </x:c>
      <x:c r="J17" s="141" t="n">
        <x:v>0</x:v>
      </x:c>
    </x:row>
    <x:row r="18">
      <x:c r="A18" s="171" t="n">
        <x:v>46054</x:v>
      </x:c>
      <x:c r="B18" s="141" t="str">
        <x:v>Q1</x:v>
      </x:c>
      <x:c r="C18" s="141" t="str">
        <x:v>Human Resources and People</x:v>
      </x:c>
      <x:c r="D18" s="141" t="n">
        <x:v>3</x:v>
      </x:c>
      <x:c r="E18" s="141" t="n">
        <x:v>78</x:v>
      </x:c>
      <x:c r="F18" s="141" t="n">
        <x:v>5</x:v>
      </x:c>
      <x:c r="G18" s="175" t="n">
        <x:v>0.0641</x:v>
      </x:c>
      <x:c r="H18" s="141" t="n">
        <x:v>21.8</x:v>
      </x:c>
      <x:c r="I18" s="141" t="n">
        <x:v>4</x:v>
      </x:c>
      <x:c r="J18" s="141" t="n">
        <x:v>0</x:v>
      </x:c>
    </x:row>
    <x:row r="19">
      <x:c r="A19" s="171" t="n">
        <x:v>46054</x:v>
      </x:c>
      <x:c r="B19" s="141" t="str">
        <x:v>Q1</x:v>
      </x:c>
      <x:c r="C19" s="141" t="str">
        <x:v>Smartwatch Production</x:v>
      </x:c>
      <x:c r="D19" s="141" t="n">
        <x:v>20</x:v>
      </x:c>
      <x:c r="E19" s="141" t="n">
        <x:v>520</x:v>
      </x:c>
      <x:c r="F19" s="141" t="n">
        <x:v>43.2</x:v>
      </x:c>
      <x:c r="G19" s="175" t="n">
        <x:v>0.083</x:v>
      </x:c>
      <x:c r="H19" s="141" t="n">
        <x:v>26.5</x:v>
      </x:c>
      <x:c r="I19" s="141" t="n">
        <x:v>5</x:v>
      </x:c>
      <x:c r="J19" s="141" t="n">
        <x:v>0</x:v>
      </x:c>
    </x:row>
    <x:row r="20">
      <x:c r="A20" s="171" t="n">
        <x:v>46054</x:v>
      </x:c>
      <x:c r="B20" s="141" t="str">
        <x:v>Q1</x:v>
      </x:c>
      <x:c r="C20" s="141" t="str">
        <x:v>Quality Assurance</x:v>
      </x:c>
      <x:c r="D20" s="141" t="n">
        <x:v>10</x:v>
      </x:c>
      <x:c r="E20" s="141" t="n">
        <x:v>260</x:v>
      </x:c>
      <x:c r="F20" s="141" t="n">
        <x:v>23</x:v>
      </x:c>
      <x:c r="G20" s="175" t="n">
        <x:v>0.08839999999999999</x:v>
      </x:c>
      <x:c r="H20" s="141" t="n">
        <x:v>19.7</x:v>
      </x:c>
      <x:c r="I20" s="141" t="n">
        <x:v>5</x:v>
      </x:c>
      <x:c r="J20" s="141" t="n">
        <x:v>1</x:v>
      </x:c>
    </x:row>
    <x:row r="21">
      <x:c r="A21" s="171" t="n">
        <x:v>46054</x:v>
      </x:c>
      <x:c r="B21" s="141" t="str">
        <x:v>Q1</x:v>
      </x:c>
      <x:c r="C21" s="141" t="str">
        <x:v>Engineering and Maintenance</x:v>
      </x:c>
      <x:c r="D21" s="141" t="n">
        <x:v>8</x:v>
      </x:c>
      <x:c r="E21" s="141" t="n">
        <x:v>208</x:v>
      </x:c>
      <x:c r="F21" s="141" t="n">
        <x:v>15.9</x:v>
      </x:c>
      <x:c r="G21" s="175" t="n">
        <x:v>0.0764</x:v>
      </x:c>
      <x:c r="H21" s="141" t="n">
        <x:v>24.2</x:v>
      </x:c>
      <x:c r="I21" s="141" t="n">
        <x:v>8</x:v>
      </x:c>
      <x:c r="J21" s="141" t="n">
        <x:v>0</x:v>
      </x:c>
    </x:row>
    <x:row r="22">
      <x:c r="A22" s="171" t="n">
        <x:v>46054</x:v>
      </x:c>
      <x:c r="B22" s="141" t="str">
        <x:v>Q1</x:v>
      </x:c>
      <x:c r="C22" s="141" t="str">
        <x:v>Research and Development</x:v>
      </x:c>
      <x:c r="D22" s="141" t="n">
        <x:v>7</x:v>
      </x:c>
      <x:c r="E22" s="141" t="n">
        <x:v>182</x:v>
      </x:c>
      <x:c r="F22" s="141" t="n">
        <x:v>14.5</x:v>
      </x:c>
      <x:c r="G22" s="175" t="n">
        <x:v>0.07980000000000001</x:v>
      </x:c>
      <x:c r="H22" s="141" t="n">
        <x:v>19.7</x:v>
      </x:c>
      <x:c r="I22" s="141" t="n">
        <x:v>4</x:v>
      </x:c>
      <x:c r="J22" s="141" t="n">
        <x:v>0</x:v>
      </x:c>
    </x:row>
    <x:row r="23">
      <x:c r="A23" s="171" t="n">
        <x:v>46054</x:v>
      </x:c>
      <x:c r="B23" s="141" t="str">
        <x:v>Q1</x:v>
      </x:c>
      <x:c r="C23" s="141" t="str">
        <x:v>Supply Chain and Planning</x:v>
      </x:c>
      <x:c r="D23" s="141" t="n">
        <x:v>3</x:v>
      </x:c>
      <x:c r="E23" s="141" t="n">
        <x:v>78</x:v>
      </x:c>
      <x:c r="F23" s="141" t="n">
        <x:v>5.8</x:v>
      </x:c>
      <x:c r="G23" s="175" t="n">
        <x:v>0.07440000000000001</x:v>
      </x:c>
      <x:c r="H23" s="141" t="n">
        <x:v>22.1</x:v>
      </x:c>
      <x:c r="I23" s="141" t="n">
        <x:v>0</x:v>
      </x:c>
      <x:c r="J23" s="141" t="n">
        <x:v>0</x:v>
      </x:c>
    </x:row>
    <x:row r="24">
      <x:c r="A24" s="171" t="n">
        <x:v>46054</x:v>
      </x:c>
      <x:c r="B24" s="141" t="str">
        <x:v>Q1</x:v>
      </x:c>
      <x:c r="C24" s="141" t="str">
        <x:v>Procurement</x:v>
      </x:c>
      <x:c r="D24" s="141" t="n">
        <x:v>2</x:v>
      </x:c>
      <x:c r="E24" s="141" t="n">
        <x:v>52</x:v>
      </x:c>
      <x:c r="F24" s="141" t="n">
        <x:v>3.6</x:v>
      </x:c>
      <x:c r="G24" s="175" t="n">
        <x:v>0.0701</x:v>
      </x:c>
      <x:c r="H24" s="141" t="n">
        <x:v>20.4</x:v>
      </x:c>
      <x:c r="I24" s="141" t="n">
        <x:v>1</x:v>
      </x:c>
      <x:c r="J24" s="141" t="n">
        <x:v>1</x:v>
      </x:c>
    </x:row>
    <x:row r="25">
      <x:c r="A25" s="171" t="n">
        <x:v>46054</x:v>
      </x:c>
      <x:c r="B25" s="141" t="str">
        <x:v>Q1</x:v>
      </x:c>
      <x:c r="C25" s="141" t="str">
        <x:v>Finance and Accounts</x:v>
      </x:c>
      <x:c r="D25" s="141" t="n">
        <x:v>2</x:v>
      </x:c>
      <x:c r="E25" s="141" t="n">
        <x:v>52</x:v>
      </x:c>
      <x:c r="F25" s="141" t="n">
        <x:v>3.8</x:v>
      </x:c>
      <x:c r="G25" s="175" t="n">
        <x:v>0.0729</x:v>
      </x:c>
      <x:c r="H25" s="141" t="n">
        <x:v>21.5</x:v>
      </x:c>
      <x:c r="I25" s="141" t="n">
        <x:v>1</x:v>
      </x:c>
      <x:c r="J25" s="141" t="n">
        <x:v>0</x:v>
      </x:c>
    </x:row>
    <x:row r="26">
      <x:c r="A26" s="171" t="n">
        <x:v>46054</x:v>
      </x:c>
      <x:c r="B26" s="141" t="str">
        <x:v>Q1</x:v>
      </x:c>
      <x:c r="C26" s="141" t="str">
        <x:v>IT Data and HRIS</x:v>
      </x:c>
      <x:c r="D26" s="141" t="n">
        <x:v>4</x:v>
      </x:c>
      <x:c r="E26" s="141" t="n">
        <x:v>104</x:v>
      </x:c>
      <x:c r="F26" s="141" t="n">
        <x:v>7.8</x:v>
      </x:c>
      <x:c r="G26" s="175" t="n">
        <x:v>0.07519999999999999</x:v>
      </x:c>
      <x:c r="H26" s="141" t="n">
        <x:v>19.4</x:v>
      </x:c>
      <x:c r="I26" s="141" t="n">
        <x:v>0</x:v>
      </x:c>
      <x:c r="J26" s="141" t="n">
        <x:v>0</x:v>
      </x:c>
    </x:row>
    <x:row r="27">
      <x:c r="A27" s="171" t="n">
        <x:v>46054</x:v>
      </x:c>
      <x:c r="B27" s="141" t="str">
        <x:v>Q1</x:v>
      </x:c>
      <x:c r="C27" s="141" t="str">
        <x:v>Sales Distribution and Service</x:v>
      </x:c>
      <x:c r="D27" s="141" t="n">
        <x:v>2</x:v>
      </x:c>
      <x:c r="E27" s="141" t="n">
        <x:v>52</x:v>
      </x:c>
      <x:c r="F27" s="141" t="n">
        <x:v>3.4</x:v>
      </x:c>
      <x:c r="G27" s="175" t="n">
        <x:v>0.0659</x:v>
      </x:c>
      <x:c r="H27" s="141" t="n">
        <x:v>19.8</x:v>
      </x:c>
      <x:c r="I27" s="141" t="n">
        <x:v>0</x:v>
      </x:c>
      <x:c r="J27" s="141" t="n">
        <x:v>0</x:v>
      </x:c>
    </x:row>
    <x:row r="28">
      <x:c r="A28" s="171" t="n">
        <x:v>46054</x:v>
      </x:c>
      <x:c r="B28" s="141" t="str">
        <x:v>Q1</x:v>
      </x:c>
      <x:c r="C28" s="141" t="str">
        <x:v>Administration and Security</x:v>
      </x:c>
      <x:c r="D28" s="141" t="n">
        <x:v>2</x:v>
      </x:c>
      <x:c r="E28" s="141" t="n">
        <x:v>52</x:v>
      </x:c>
      <x:c r="F28" s="141" t="n">
        <x:v>3.4</x:v>
      </x:c>
      <x:c r="G28" s="175" t="n">
        <x:v>0.0645</x:v>
      </x:c>
      <x:c r="H28" s="141" t="n">
        <x:v>17.3</x:v>
      </x:c>
      <x:c r="I28" s="141" t="n">
        <x:v>0</x:v>
      </x:c>
      <x:c r="J28" s="141" t="n">
        <x:v>0</x:v>
      </x:c>
    </x:row>
    <x:row r="29">
      <x:c r="A29" s="171" t="n">
        <x:v>46082</x:v>
      </x:c>
      <x:c r="B29" s="141" t="str">
        <x:v>Q1</x:v>
      </x:c>
      <x:c r="C29" s="141" t="str">
        <x:v>Human Resources and People</x:v>
      </x:c>
      <x:c r="D29" s="141" t="n">
        <x:v>2</x:v>
      </x:c>
      <x:c r="E29" s="141" t="n">
        <x:v>52</x:v>
      </x:c>
      <x:c r="F29" s="141" t="n">
        <x:v>3.7</x:v>
      </x:c>
      <x:c r="G29" s="175" t="n">
        <x:v>0.0709</x:v>
      </x:c>
      <x:c r="H29" s="141" t="n">
        <x:v>16.3</x:v>
      </x:c>
      <x:c r="I29" s="141" t="n">
        <x:v>0</x:v>
      </x:c>
      <x:c r="J29" s="141" t="n">
        <x:v>0</x:v>
      </x:c>
    </x:row>
    <x:row r="30">
      <x:c r="A30" s="171" t="n">
        <x:v>46082</x:v>
      </x:c>
      <x:c r="B30" s="141" t="str">
        <x:v>Q1</x:v>
      </x:c>
      <x:c r="C30" s="141" t="str">
        <x:v>Smartwatch Production</x:v>
      </x:c>
      <x:c r="D30" s="141" t="n">
        <x:v>15</x:v>
      </x:c>
      <x:c r="E30" s="141" t="n">
        <x:v>390</x:v>
      </x:c>
      <x:c r="F30" s="141" t="n">
        <x:v>28.4</x:v>
      </x:c>
      <x:c r="G30" s="175" t="n">
        <x:v>0.0728</x:v>
      </x:c>
      <x:c r="H30" s="141" t="n">
        <x:v>25.2</x:v>
      </x:c>
      <x:c r="I30" s="141" t="n">
        <x:v>7</x:v>
      </x:c>
      <x:c r="J30" s="141" t="n">
        <x:v>1</x:v>
      </x:c>
    </x:row>
    <x:row r="31">
      <x:c r="A31" s="171" t="n">
        <x:v>46082</x:v>
      </x:c>
      <x:c r="B31" s="141" t="str">
        <x:v>Q1</x:v>
      </x:c>
      <x:c r="C31" s="141" t="str">
        <x:v>Quality Assurance</x:v>
      </x:c>
      <x:c r="D31" s="141" t="n">
        <x:v>9</x:v>
      </x:c>
      <x:c r="E31" s="141" t="n">
        <x:v>234</x:v>
      </x:c>
      <x:c r="F31" s="141" t="n">
        <x:v>19.4</x:v>
      </x:c>
      <x:c r="G31" s="175" t="n">
        <x:v>0.08289999999999999</x:v>
      </x:c>
      <x:c r="H31" s="141" t="n">
        <x:v>21</x:v>
      </x:c>
      <x:c r="I31" s="141" t="n">
        <x:v>1</x:v>
      </x:c>
      <x:c r="J31" s="141" t="n">
        <x:v>0</x:v>
      </x:c>
    </x:row>
    <x:row r="32">
      <x:c r="A32" s="171" t="n">
        <x:v>46082</x:v>
      </x:c>
      <x:c r="B32" s="141" t="str">
        <x:v>Q1</x:v>
      </x:c>
      <x:c r="C32" s="141" t="str">
        <x:v>Engineering and Maintenance</x:v>
      </x:c>
      <x:c r="D32" s="141" t="n">
        <x:v>8</x:v>
      </x:c>
      <x:c r="E32" s="141" t="n">
        <x:v>208</x:v>
      </x:c>
      <x:c r="F32" s="141" t="n">
        <x:v>13.4</x:v>
      </x:c>
      <x:c r="G32" s="175" t="n">
        <x:v>0.0646</x:v>
      </x:c>
      <x:c r="H32" s="141" t="n">
        <x:v>24.4</x:v>
      </x:c>
      <x:c r="I32" s="141" t="n">
        <x:v>3</x:v>
      </x:c>
      <x:c r="J32" s="141" t="n">
        <x:v>1</x:v>
      </x:c>
    </x:row>
    <x:row r="33">
      <x:c r="A33" s="171" t="n">
        <x:v>46082</x:v>
      </x:c>
      <x:c r="B33" s="141" t="str">
        <x:v>Q1</x:v>
      </x:c>
      <x:c r="C33" s="141" t="str">
        <x:v>Research and Development</x:v>
      </x:c>
      <x:c r="D33" s="141" t="n">
        <x:v>7</x:v>
      </x:c>
      <x:c r="E33" s="141" t="n">
        <x:v>182</x:v>
      </x:c>
      <x:c r="F33" s="141" t="n">
        <x:v>9.8</x:v>
      </x:c>
      <x:c r="G33" s="175" t="n">
        <x:v>0.0536</x:v>
      </x:c>
      <x:c r="H33" s="141" t="n">
        <x:v>18.4</x:v>
      </x:c>
      <x:c r="I33" s="141" t="n">
        <x:v>4</x:v>
      </x:c>
      <x:c r="J33" s="141" t="n">
        <x:v>0</x:v>
      </x:c>
    </x:row>
    <x:row r="34">
      <x:c r="A34" s="171" t="n">
        <x:v>46082</x:v>
      </x:c>
      <x:c r="B34" s="141" t="str">
        <x:v>Q1</x:v>
      </x:c>
      <x:c r="C34" s="141" t="str">
        <x:v>Supply Chain and Planning</x:v>
      </x:c>
      <x:c r="D34" s="141" t="n">
        <x:v>2</x:v>
      </x:c>
      <x:c r="E34" s="141" t="n">
        <x:v>52</x:v>
      </x:c>
      <x:c r="F34" s="141" t="n">
        <x:v>4.3</x:v>
      </x:c>
      <x:c r="G34" s="175" t="n">
        <x:v>0.0823</x:v>
      </x:c>
      <x:c r="H34" s="141" t="n">
        <x:v>22.7</x:v>
      </x:c>
      <x:c r="I34" s="141" t="n">
        <x:v>0</x:v>
      </x:c>
      <x:c r="J34" s="141" t="n">
        <x:v>0</x:v>
      </x:c>
    </x:row>
    <x:row r="35">
      <x:c r="A35" s="171" t="n">
        <x:v>46082</x:v>
      </x:c>
      <x:c r="B35" s="141" t="str">
        <x:v>Q1</x:v>
      </x:c>
      <x:c r="C35" s="141" t="str">
        <x:v>Procurement</x:v>
      </x:c>
      <x:c r="D35" s="141" t="n">
        <x:v>1</x:v>
      </x:c>
      <x:c r="E35" s="141" t="n">
        <x:v>26</x:v>
      </x:c>
      <x:c r="F35" s="141" t="n">
        <x:v>1.6</x:v>
      </x:c>
      <x:c r="G35" s="175" t="n">
        <x:v>0.062400000000000004</x:v>
      </x:c>
      <x:c r="H35" s="141" t="n">
        <x:v>16.8</x:v>
      </x:c>
      <x:c r="I35" s="141" t="n">
        <x:v>2</x:v>
      </x:c>
      <x:c r="J35" s="141" t="n">
        <x:v>0</x:v>
      </x:c>
    </x:row>
    <x:row r="36">
      <x:c r="A36" s="171" t="n">
        <x:v>46082</x:v>
      </x:c>
      <x:c r="B36" s="141" t="str">
        <x:v>Q1</x:v>
      </x:c>
      <x:c r="C36" s="141" t="str">
        <x:v>Finance and Accounts</x:v>
      </x:c>
      <x:c r="D36" s="141" t="n">
        <x:v>1</x:v>
      </x:c>
      <x:c r="E36" s="141" t="n">
        <x:v>26</x:v>
      </x:c>
      <x:c r="F36" s="141" t="n">
        <x:v>1.5</x:v>
      </x:c>
      <x:c r="G36" s="175" t="n">
        <x:v>0.0584</x:v>
      </x:c>
      <x:c r="H36" s="141" t="n">
        <x:v>16.7</x:v>
      </x:c>
      <x:c r="I36" s="141" t="n">
        <x:v>0</x:v>
      </x:c>
      <x:c r="J36" s="141" t="n">
        <x:v>0</x:v>
      </x:c>
    </x:row>
    <x:row r="37">
      <x:c r="A37" s="171" t="n">
        <x:v>46082</x:v>
      </x:c>
      <x:c r="B37" s="141" t="str">
        <x:v>Q1</x:v>
      </x:c>
      <x:c r="C37" s="141" t="str">
        <x:v>IT Data and HRIS</x:v>
      </x:c>
      <x:c r="D37" s="141" t="n">
        <x:v>4</x:v>
      </x:c>
      <x:c r="E37" s="141" t="n">
        <x:v>104</x:v>
      </x:c>
      <x:c r="F37" s="141" t="n">
        <x:v>7.1</x:v>
      </x:c>
      <x:c r="G37" s="175" t="n">
        <x:v>0.0681</x:v>
      </x:c>
      <x:c r="H37" s="141" t="n">
        <x:v>17.9</x:v>
      </x:c>
      <x:c r="I37" s="141" t="n">
        <x:v>2</x:v>
      </x:c>
      <x:c r="J37" s="141" t="n">
        <x:v>0</x:v>
      </x:c>
    </x:row>
    <x:row r="38">
      <x:c r="A38" s="171" t="n">
        <x:v>46082</x:v>
      </x:c>
      <x:c r="B38" s="141" t="str">
        <x:v>Q1</x:v>
      </x:c>
      <x:c r="C38" s="141" t="str">
        <x:v>Sales Distribution and Service</x:v>
      </x:c>
      <x:c r="D38" s="141" t="n">
        <x:v>2</x:v>
      </x:c>
      <x:c r="E38" s="141" t="n">
        <x:v>52</x:v>
      </x:c>
      <x:c r="F38" s="141" t="n">
        <x:v>3.2</x:v>
      </x:c>
      <x:c r="G38" s="175" t="n">
        <x:v>0.062400000000000004</x:v>
      </x:c>
      <x:c r="H38" s="141" t="n">
        <x:v>19.1</x:v>
      </x:c>
      <x:c r="I38" s="141" t="n">
        <x:v>0</x:v>
      </x:c>
      <x:c r="J38" s="141" t="n">
        <x:v>0</x:v>
      </x:c>
    </x:row>
    <x:row r="39">
      <x:c r="A39" s="171" t="n">
        <x:v>46082</x:v>
      </x:c>
      <x:c r="B39" s="141" t="str">
        <x:v>Q1</x:v>
      </x:c>
      <x:c r="C39" s="141" t="str">
        <x:v>Administration and Security</x:v>
      </x:c>
      <x:c r="D39" s="141" t="n">
        <x:v>1</x:v>
      </x:c>
      <x:c r="E39" s="141" t="n">
        <x:v>26</x:v>
      </x:c>
      <x:c r="F39" s="141" t="n">
        <x:v>1.7</x:v>
      </x:c>
      <x:c r="G39" s="175" t="n">
        <x:v>0.0635</x:v>
      </x:c>
      <x:c r="H39" s="141" t="n">
        <x:v>15.4</x:v>
      </x:c>
      <x:c r="I39" s="141" t="n">
        <x:v>3</x:v>
      </x:c>
      <x:c r="J39" s="141" t="n">
        <x:v>0</x:v>
      </x:c>
    </x:row>
    <x:row r="40">
      <x:c r="A40" s="171" t="n">
        <x:v>46113</x:v>
      </x:c>
      <x:c r="B40" s="141" t="str">
        <x:v>Q2</x:v>
      </x:c>
      <x:c r="C40" s="141" t="str">
        <x:v>Human Resources and People</x:v>
      </x:c>
      <x:c r="D40" s="141" t="n">
        <x:v>2</x:v>
      </x:c>
      <x:c r="E40" s="141" t="n">
        <x:v>52</x:v>
      </x:c>
      <x:c r="F40" s="141" t="n">
        <x:v>3.3</x:v>
      </x:c>
      <x:c r="G40" s="175" t="n">
        <x:v>0.064</x:v>
      </x:c>
      <x:c r="H40" s="141" t="n">
        <x:v>14</x:v>
      </x:c>
      <x:c r="I40" s="141" t="n">
        <x:v>2</x:v>
      </x:c>
      <x:c r="J40" s="141" t="n">
        <x:v>0</x:v>
      </x:c>
    </x:row>
    <x:row r="41">
      <x:c r="A41" s="171" t="n">
        <x:v>46113</x:v>
      </x:c>
      <x:c r="B41" s="141" t="str">
        <x:v>Q2</x:v>
      </x:c>
      <x:c r="C41" s="141" t="str">
        <x:v>Smartwatch Production</x:v>
      </x:c>
      <x:c r="D41" s="141" t="n">
        <x:v>17</x:v>
      </x:c>
      <x:c r="E41" s="141" t="n">
        <x:v>442</x:v>
      </x:c>
      <x:c r="F41" s="141" t="n">
        <x:v>32.3</x:v>
      </x:c>
      <x:c r="G41" s="175" t="n">
        <x:v>0.073</x:v>
      </x:c>
      <x:c r="H41" s="141" t="n">
        <x:v>18.6</x:v>
      </x:c>
      <x:c r="I41" s="141" t="n">
        <x:v>2</x:v>
      </x:c>
      <x:c r="J41" s="141" t="n">
        <x:v>0</x:v>
      </x:c>
    </x:row>
    <x:row r="42">
      <x:c r="A42" s="171" t="n">
        <x:v>46113</x:v>
      </x:c>
      <x:c r="B42" s="141" t="str">
        <x:v>Q2</x:v>
      </x:c>
      <x:c r="C42" s="141" t="str">
        <x:v>Quality Assurance</x:v>
      </x:c>
      <x:c r="D42" s="141" t="n">
        <x:v>10</x:v>
      </x:c>
      <x:c r="E42" s="141" t="n">
        <x:v>260</x:v>
      </x:c>
      <x:c r="F42" s="141" t="n">
        <x:v>15.1</x:v>
      </x:c>
      <x:c r="G42" s="175" t="n">
        <x:v>0.0582</x:v>
      </x:c>
      <x:c r="H42" s="141" t="n">
        <x:v>23.9</x:v>
      </x:c>
      <x:c r="I42" s="141" t="n">
        <x:v>6</x:v>
      </x:c>
      <x:c r="J42" s="141" t="n">
        <x:v>0</x:v>
      </x:c>
    </x:row>
    <x:row r="43">
      <x:c r="A43" s="171" t="n">
        <x:v>46113</x:v>
      </x:c>
      <x:c r="B43" s="141" t="str">
        <x:v>Q2</x:v>
      </x:c>
      <x:c r="C43" s="141" t="str">
        <x:v>Engineering and Maintenance</x:v>
      </x:c>
      <x:c r="D43" s="141" t="n">
        <x:v>8</x:v>
      </x:c>
      <x:c r="E43" s="141" t="n">
        <x:v>208</x:v>
      </x:c>
      <x:c r="F43" s="141" t="n">
        <x:v>15</x:v>
      </x:c>
      <x:c r="G43" s="175" t="n">
        <x:v>0.07200000000000001</x:v>
      </x:c>
      <x:c r="H43" s="141" t="n">
        <x:v>21.4</x:v>
      </x:c>
      <x:c r="I43" s="141" t="n">
        <x:v>0</x:v>
      </x:c>
      <x:c r="J43" s="141" t="n">
        <x:v>0</x:v>
      </x:c>
    </x:row>
    <x:row r="44">
      <x:c r="A44" s="171" t="n">
        <x:v>46113</x:v>
      </x:c>
      <x:c r="B44" s="141" t="str">
        <x:v>Q2</x:v>
      </x:c>
      <x:c r="C44" s="141" t="str">
        <x:v>Research and Development</x:v>
      </x:c>
      <x:c r="D44" s="141" t="n">
        <x:v>7</x:v>
      </x:c>
      <x:c r="E44" s="141" t="n">
        <x:v>182</x:v>
      </x:c>
      <x:c r="F44" s="141" t="n">
        <x:v>11.9</x:v>
      </x:c>
      <x:c r="G44" s="175" t="n">
        <x:v>0.0652</x:v>
      </x:c>
      <x:c r="H44" s="141" t="n">
        <x:v>15</x:v>
      </x:c>
      <x:c r="I44" s="141" t="n">
        <x:v>2</x:v>
      </x:c>
      <x:c r="J44" s="141" t="n">
        <x:v>0</x:v>
      </x:c>
    </x:row>
    <x:row r="45">
      <x:c r="A45" s="171" t="n">
        <x:v>46113</x:v>
      </x:c>
      <x:c r="B45" s="141" t="str">
        <x:v>Q2</x:v>
      </x:c>
      <x:c r="C45" s="141" t="str">
        <x:v>Supply Chain and Planning</x:v>
      </x:c>
      <x:c r="D45" s="141" t="n">
        <x:v>3</x:v>
      </x:c>
      <x:c r="E45" s="141" t="n">
        <x:v>78</x:v>
      </x:c>
      <x:c r="F45" s="141" t="n">
        <x:v>5</x:v>
      </x:c>
      <x:c r="G45" s="175" t="n">
        <x:v>0.0638</x:v>
      </x:c>
      <x:c r="H45" s="141" t="n">
        <x:v>22.9</x:v>
      </x:c>
      <x:c r="I45" s="141" t="n">
        <x:v>1</x:v>
      </x:c>
      <x:c r="J45" s="141" t="n">
        <x:v>0</x:v>
      </x:c>
    </x:row>
    <x:row r="46">
      <x:c r="A46" s="171" t="n">
        <x:v>46113</x:v>
      </x:c>
      <x:c r="B46" s="141" t="str">
        <x:v>Q2</x:v>
      </x:c>
      <x:c r="C46" s="141" t="str">
        <x:v>Procurement</x:v>
      </x:c>
      <x:c r="D46" s="141" t="n">
        <x:v>1</x:v>
      </x:c>
      <x:c r="E46" s="141" t="n">
        <x:v>26</x:v>
      </x:c>
      <x:c r="F46" s="141" t="n">
        <x:v>1.5</x:v>
      </x:c>
      <x:c r="G46" s="175" t="n">
        <x:v>0.0575</x:v>
      </x:c>
      <x:c r="H46" s="141" t="n">
        <x:v>19.2</x:v>
      </x:c>
      <x:c r="I46" s="141" t="n">
        <x:v>2</x:v>
      </x:c>
      <x:c r="J46" s="141" t="n">
        <x:v>1</x:v>
      </x:c>
    </x:row>
    <x:row r="47">
      <x:c r="A47" s="171" t="n">
        <x:v>46113</x:v>
      </x:c>
      <x:c r="B47" s="141" t="str">
        <x:v>Q2</x:v>
      </x:c>
      <x:c r="C47" s="141" t="str">
        <x:v>Finance and Accounts</x:v>
      </x:c>
      <x:c r="D47" s="141" t="n">
        <x:v>1</x:v>
      </x:c>
      <x:c r="E47" s="141" t="n">
        <x:v>26</x:v>
      </x:c>
      <x:c r="F47" s="141" t="n">
        <x:v>1.6</x:v>
      </x:c>
      <x:c r="G47" s="175" t="n">
        <x:v>0.061799999999999994</x:v>
      </x:c>
      <x:c r="H47" s="141" t="n">
        <x:v>16.7</x:v>
      </x:c>
      <x:c r="I47" s="141" t="n">
        <x:v>0</x:v>
      </x:c>
      <x:c r="J47" s="141" t="n">
        <x:v>0</x:v>
      </x:c>
    </x:row>
    <x:row r="48">
      <x:c r="A48" s="171" t="n">
        <x:v>46113</x:v>
      </x:c>
      <x:c r="B48" s="141" t="str">
        <x:v>Q2</x:v>
      </x:c>
      <x:c r="C48" s="141" t="str">
        <x:v>IT Data and HRIS</x:v>
      </x:c>
      <x:c r="D48" s="141" t="n">
        <x:v>4</x:v>
      </x:c>
      <x:c r="E48" s="141" t="n">
        <x:v>104</x:v>
      </x:c>
      <x:c r="F48" s="141" t="n">
        <x:v>6</x:v>
      </x:c>
      <x:c r="G48" s="175" t="n">
        <x:v>0.0576</x:v>
      </x:c>
      <x:c r="H48" s="141" t="n">
        <x:v>15.7</x:v>
      </x:c>
      <x:c r="I48" s="141" t="n">
        <x:v>0</x:v>
      </x:c>
      <x:c r="J48" s="141" t="n">
        <x:v>0</x:v>
      </x:c>
    </x:row>
    <x:row r="49">
      <x:c r="A49" s="171" t="n">
        <x:v>46113</x:v>
      </x:c>
      <x:c r="B49" s="141" t="str">
        <x:v>Q2</x:v>
      </x:c>
      <x:c r="C49" s="141" t="str">
        <x:v>Sales Distribution and Service</x:v>
      </x:c>
      <x:c r="D49" s="141" t="n">
        <x:v>2</x:v>
      </x:c>
      <x:c r="E49" s="141" t="n">
        <x:v>52</x:v>
      </x:c>
      <x:c r="F49" s="141" t="n">
        <x:v>3.1</x:v>
      </x:c>
      <x:c r="G49" s="175" t="n">
        <x:v>0.059699999999999996</x:v>
      </x:c>
      <x:c r="H49" s="141" t="n">
        <x:v>12.8</x:v>
      </x:c>
      <x:c r="I49" s="141" t="n">
        <x:v>0</x:v>
      </x:c>
      <x:c r="J49" s="141" t="n">
        <x:v>0</x:v>
      </x:c>
    </x:row>
    <x:row r="50">
      <x:c r="A50" s="171" t="n">
        <x:v>46113</x:v>
      </x:c>
      <x:c r="B50" s="141" t="str">
        <x:v>Q2</x:v>
      </x:c>
      <x:c r="C50" s="141" t="str">
        <x:v>Administration and Security</x:v>
      </x:c>
      <x:c r="D50" s="141" t="n">
        <x:v>1</x:v>
      </x:c>
      <x:c r="E50" s="141" t="n">
        <x:v>26</x:v>
      </x:c>
      <x:c r="F50" s="141" t="n">
        <x:v>1.5</x:v>
      </x:c>
      <x:c r="G50" s="175" t="n">
        <x:v>0.0558</x:v>
      </x:c>
      <x:c r="H50" s="141" t="n">
        <x:v>18.1</x:v>
      </x:c>
      <x:c r="I50" s="141" t="n">
        <x:v>0</x:v>
      </x:c>
      <x:c r="J50" s="141" t="n">
        <x:v>0</x:v>
      </x:c>
    </x:row>
    <x:row r="51">
      <x:c r="A51" s="171" t="n">
        <x:v>46143</x:v>
      </x:c>
      <x:c r="B51" s="141" t="str">
        <x:v>Q2</x:v>
      </x:c>
      <x:c r="C51" s="141" t="str">
        <x:v>Human Resources and People</x:v>
      </x:c>
      <x:c r="D51" s="141" t="n">
        <x:v>3</x:v>
      </x:c>
      <x:c r="E51" s="141" t="n">
        <x:v>78</x:v>
      </x:c>
      <x:c r="F51" s="141" t="n">
        <x:v>4.5</x:v>
      </x:c>
      <x:c r="G51" s="175" t="n">
        <x:v>0.057300000000000004</x:v>
      </x:c>
      <x:c r="H51" s="141" t="n">
        <x:v>11.4</x:v>
      </x:c>
      <x:c r="I51" s="141" t="n">
        <x:v>3</x:v>
      </x:c>
      <x:c r="J51" s="141" t="n">
        <x:v>1</x:v>
      </x:c>
    </x:row>
    <x:row r="52">
      <x:c r="A52" s="171" t="n">
        <x:v>46143</x:v>
      </x:c>
      <x:c r="B52" s="141" t="str">
        <x:v>Q2</x:v>
      </x:c>
      <x:c r="C52" s="141" t="str">
        <x:v>Smartwatch Production</x:v>
      </x:c>
      <x:c r="D52" s="141" t="n">
        <x:v>19</x:v>
      </x:c>
      <x:c r="E52" s="141" t="n">
        <x:v>494</x:v>
      </x:c>
      <x:c r="F52" s="141" t="n">
        <x:v>35</x:v>
      </x:c>
      <x:c r="G52" s="175" t="n">
        <x:v>0.0709</x:v>
      </x:c>
      <x:c r="H52" s="141" t="n">
        <x:v>16.9</x:v>
      </x:c>
      <x:c r="I52" s="141" t="n">
        <x:v>6</x:v>
      </x:c>
      <x:c r="J52" s="141" t="n">
        <x:v>0</x:v>
      </x:c>
    </x:row>
    <x:row r="53">
      <x:c r="A53" s="171" t="n">
        <x:v>46143</x:v>
      </x:c>
      <x:c r="B53" s="141" t="str">
        <x:v>Q2</x:v>
      </x:c>
      <x:c r="C53" s="141" t="str">
        <x:v>Quality Assurance</x:v>
      </x:c>
      <x:c r="D53" s="141" t="n">
        <x:v>11</x:v>
      </x:c>
      <x:c r="E53" s="141" t="n">
        <x:v>286</x:v>
      </x:c>
      <x:c r="F53" s="141" t="n">
        <x:v>16.6</x:v>
      </x:c>
      <x:c r="G53" s="175" t="n">
        <x:v>0.0581</x:v>
      </x:c>
      <x:c r="H53" s="141" t="n">
        <x:v>18.2</x:v>
      </x:c>
      <x:c r="I53" s="141" t="n">
        <x:v>3</x:v>
      </x:c>
      <x:c r="J53" s="141" t="n">
        <x:v>1</x:v>
      </x:c>
    </x:row>
    <x:row r="54">
      <x:c r="A54" s="171" t="n">
        <x:v>46143</x:v>
      </x:c>
      <x:c r="B54" s="141" t="str">
        <x:v>Q2</x:v>
      </x:c>
      <x:c r="C54" s="141" t="str">
        <x:v>Engineering and Maintenance</x:v>
      </x:c>
      <x:c r="D54" s="141" t="n">
        <x:v>8</x:v>
      </x:c>
      <x:c r="E54" s="141" t="n">
        <x:v>208</x:v>
      </x:c>
      <x:c r="F54" s="141" t="n">
        <x:v>14.5</x:v>
      </x:c>
      <x:c r="G54" s="175" t="n">
        <x:v>0.0696</x:v>
      </x:c>
      <x:c r="H54" s="141" t="n">
        <x:v>20.6</x:v>
      </x:c>
      <x:c r="I54" s="141" t="n">
        <x:v>3</x:v>
      </x:c>
      <x:c r="J54" s="141" t="n">
        <x:v>0</x:v>
      </x:c>
    </x:row>
    <x:row r="55">
      <x:c r="A55" s="171" t="n">
        <x:v>46143</x:v>
      </x:c>
      <x:c r="B55" s="141" t="str">
        <x:v>Q2</x:v>
      </x:c>
      <x:c r="C55" s="141" t="str">
        <x:v>Research and Development</x:v>
      </x:c>
      <x:c r="D55" s="141" t="n">
        <x:v>8</x:v>
      </x:c>
      <x:c r="E55" s="141" t="n">
        <x:v>208</x:v>
      </x:c>
      <x:c r="F55" s="141" t="n">
        <x:v>13</x:v>
      </x:c>
      <x:c r="G55" s="175" t="n">
        <x:v>0.06269999999999999</x:v>
      </x:c>
      <x:c r="H55" s="141" t="n">
        <x:v>14.3</x:v>
      </x:c>
      <x:c r="I55" s="141" t="n">
        <x:v>2</x:v>
      </x:c>
      <x:c r="J55" s="141" t="n">
        <x:v>0</x:v>
      </x:c>
    </x:row>
    <x:row r="56">
      <x:c r="A56" s="171" t="n">
        <x:v>46143</x:v>
      </x:c>
      <x:c r="B56" s="141" t="str">
        <x:v>Q2</x:v>
      </x:c>
      <x:c r="C56" s="141" t="str">
        <x:v>Supply Chain and Planning</x:v>
      </x:c>
      <x:c r="D56" s="141" t="n">
        <x:v>3</x:v>
      </x:c>
      <x:c r="E56" s="141" t="n">
        <x:v>78</x:v>
      </x:c>
      <x:c r="F56" s="141" t="n">
        <x:v>4.6</x:v>
      </x:c>
      <x:c r="G56" s="175" t="n">
        <x:v>0.059000000000000004</x:v>
      </x:c>
      <x:c r="H56" s="141" t="n">
        <x:v>20.5</x:v>
      </x:c>
      <x:c r="I56" s="141" t="n">
        <x:v>0</x:v>
      </x:c>
      <x:c r="J56" s="141" t="n">
        <x:v>0</x:v>
      </x:c>
    </x:row>
    <x:row r="57">
      <x:c r="A57" s="171" t="n">
        <x:v>46143</x:v>
      </x:c>
      <x:c r="B57" s="141" t="str">
        <x:v>Q2</x:v>
      </x:c>
      <x:c r="C57" s="141" t="str">
        <x:v>Procurement</x:v>
      </x:c>
      <x:c r="D57" s="141" t="n">
        <x:v>1</x:v>
      </x:c>
      <x:c r="E57" s="141" t="n">
        <x:v>26</x:v>
      </x:c>
      <x:c r="F57" s="141" t="n">
        <x:v>1.6</x:v>
      </x:c>
      <x:c r="G57" s="175" t="n">
        <x:v>0.0617</x:v>
      </x:c>
      <x:c r="H57" s="141" t="n">
        <x:v>14.1</x:v>
      </x:c>
      <x:c r="I57" s="141" t="n">
        <x:v>0</x:v>
      </x:c>
      <x:c r="J57" s="141" t="n">
        <x:v>0</x:v>
      </x:c>
    </x:row>
    <x:row r="58">
      <x:c r="A58" s="171" t="n">
        <x:v>46143</x:v>
      </x:c>
      <x:c r="B58" s="141" t="str">
        <x:v>Q2</x:v>
      </x:c>
      <x:c r="C58" s="141" t="str">
        <x:v>Finance and Accounts</x:v>
      </x:c>
      <x:c r="D58" s="141" t="n">
        <x:v>1</x:v>
      </x:c>
      <x:c r="E58" s="141" t="n">
        <x:v>26</x:v>
      </x:c>
      <x:c r="F58" s="141" t="n">
        <x:v>1.5</x:v>
      </x:c>
      <x:c r="G58" s="175" t="n">
        <x:v>0.0594</x:v>
      </x:c>
      <x:c r="H58" s="141" t="n">
        <x:v>16.2</x:v>
      </x:c>
      <x:c r="I58" s="141" t="n">
        <x:v>0</x:v>
      </x:c>
      <x:c r="J58" s="141" t="n">
        <x:v>0</x:v>
      </x:c>
    </x:row>
    <x:row r="59">
      <x:c r="A59" s="171" t="n">
        <x:v>46143</x:v>
      </x:c>
      <x:c r="B59" s="141" t="str">
        <x:v>Q2</x:v>
      </x:c>
      <x:c r="C59" s="141" t="str">
        <x:v>IT Data and HRIS</x:v>
      </x:c>
      <x:c r="D59" s="141" t="n">
        <x:v>4</x:v>
      </x:c>
      <x:c r="E59" s="141" t="n">
        <x:v>104</x:v>
      </x:c>
      <x:c r="F59" s="141" t="n">
        <x:v>6.7</x:v>
      </x:c>
      <x:c r="G59" s="175" t="n">
        <x:v>0.0643</x:v>
      </x:c>
      <x:c r="H59" s="141" t="n">
        <x:v>12.3</x:v>
      </x:c>
      <x:c r="I59" s="141" t="n">
        <x:v>3</x:v>
      </x:c>
      <x:c r="J59" s="141" t="n">
        <x:v>0</x:v>
      </x:c>
    </x:row>
    <x:row r="60">
      <x:c r="A60" s="171" t="n">
        <x:v>46143</x:v>
      </x:c>
      <x:c r="B60" s="141" t="str">
        <x:v>Q2</x:v>
      </x:c>
      <x:c r="C60" s="141" t="str">
        <x:v>Sales Distribution and Service</x:v>
      </x:c>
      <x:c r="D60" s="141" t="n">
        <x:v>2</x:v>
      </x:c>
      <x:c r="E60" s="141" t="n">
        <x:v>52</x:v>
      </x:c>
      <x:c r="F60" s="141" t="n">
        <x:v>3.3</x:v>
      </x:c>
      <x:c r="G60" s="175" t="n">
        <x:v>0.0632</x:v>
      </x:c>
      <x:c r="H60" s="141" t="n">
        <x:v>15</x:v>
      </x:c>
      <x:c r="I60" s="141" t="n">
        <x:v>0</x:v>
      </x:c>
      <x:c r="J60" s="141" t="n">
        <x:v>0</x:v>
      </x:c>
    </x:row>
    <x:row r="61">
      <x:c r="A61" s="171" t="n">
        <x:v>46143</x:v>
      </x:c>
      <x:c r="B61" s="141" t="str">
        <x:v>Q2</x:v>
      </x:c>
      <x:c r="C61" s="141" t="str">
        <x:v>EHS and Regulatory Compliance</x:v>
      </x:c>
      <x:c r="D61" s="141" t="n">
        <x:v>1</x:v>
      </x:c>
      <x:c r="E61" s="141" t="n">
        <x:v>26</x:v>
      </x:c>
      <x:c r="F61" s="141" t="n">
        <x:v>1.2</x:v>
      </x:c>
      <x:c r="G61" s="175" t="n">
        <x:v>0.044500000000000005</x:v>
      </x:c>
      <x:c r="H61" s="141" t="n">
        <x:v>12.6</x:v>
      </x:c>
      <x:c r="I61" s="141" t="n">
        <x:v>0</x:v>
      </x:c>
      <x:c r="J61" s="141" t="n">
        <x:v>0</x:v>
      </x:c>
    </x:row>
    <x:row r="62">
      <x:c r="A62" s="171" t="n">
        <x:v>46143</x:v>
      </x:c>
      <x:c r="B62" s="141" t="str">
        <x:v>Q2</x:v>
      </x:c>
      <x:c r="C62" s="141" t="str">
        <x:v>Administration and Security</x:v>
      </x:c>
      <x:c r="D62" s="141" t="n">
        <x:v>1</x:v>
      </x:c>
      <x:c r="E62" s="141" t="n">
        <x:v>26</x:v>
      </x:c>
      <x:c r="F62" s="141" t="n">
        <x:v>1.2</x:v>
      </x:c>
      <x:c r="G62" s="175" t="n">
        <x:v>0.0461</x:v>
      </x:c>
      <x:c r="H62" s="141" t="n">
        <x:v>15.6</x:v>
      </x:c>
      <x:c r="I62" s="141" t="n">
        <x:v>0</x:v>
      </x:c>
      <x:c r="J62" s="141" t="n">
        <x:v>0</x:v>
      </x:c>
    </x:row>
    <x:row r="63">
      <x:c r="A63" s="171" t="n">
        <x:v>46174</x:v>
      </x:c>
      <x:c r="B63" s="141" t="str">
        <x:v>Q2</x:v>
      </x:c>
      <x:c r="C63" s="141" t="str">
        <x:v>Human Resources and People</x:v>
      </x:c>
      <x:c r="D63" s="141" t="n">
        <x:v>3</x:v>
      </x:c>
      <x:c r="E63" s="141" t="n">
        <x:v>78</x:v>
      </x:c>
      <x:c r="F63" s="141" t="n">
        <x:v>3.8</x:v>
      </x:c>
      <x:c r="G63" s="175" t="n">
        <x:v>0.048799999999999996</x:v>
      </x:c>
      <x:c r="H63" s="141" t="n">
        <x:v>12.7</x:v>
      </x:c>
      <x:c r="I63" s="141" t="n">
        <x:v>6</x:v>
      </x:c>
      <x:c r="J63" s="141" t="n">
        <x:v>0</x:v>
      </x:c>
    </x:row>
    <x:row r="64">
      <x:c r="A64" s="171" t="n">
        <x:v>46174</x:v>
      </x:c>
      <x:c r="B64" s="141" t="str">
        <x:v>Q2</x:v>
      </x:c>
      <x:c r="C64" s="141" t="str">
        <x:v>Smartwatch Production</x:v>
      </x:c>
      <x:c r="D64" s="141" t="n">
        <x:v>22</x:v>
      </x:c>
      <x:c r="E64" s="141" t="n">
        <x:v>572</x:v>
      </x:c>
      <x:c r="F64" s="141" t="n">
        <x:v>40</x:v>
      </x:c>
      <x:c r="G64" s="175" t="n">
        <x:v>0.0699</x:v>
      </x:c>
      <x:c r="H64" s="141" t="n">
        <x:v>19.2</x:v>
      </x:c>
      <x:c r="I64" s="141" t="n">
        <x:v>8</x:v>
      </x:c>
      <x:c r="J64" s="141" t="n">
        <x:v>0</x:v>
      </x:c>
    </x:row>
    <x:row r="65">
      <x:c r="A65" s="171" t="n">
        <x:v>46174</x:v>
      </x:c>
      <x:c r="B65" s="141" t="str">
        <x:v>Q2</x:v>
      </x:c>
      <x:c r="C65" s="141" t="str">
        <x:v>Quality Assurance</x:v>
      </x:c>
      <x:c r="D65" s="141" t="n">
        <x:v>12</x:v>
      </x:c>
      <x:c r="E65" s="141" t="n">
        <x:v>312</x:v>
      </x:c>
      <x:c r="F65" s="141" t="n">
        <x:v>18.7</x:v>
      </x:c>
      <x:c r="G65" s="175" t="n">
        <x:v>0.059800000000000006</x:v>
      </x:c>
      <x:c r="H65" s="141" t="n">
        <x:v>19.8</x:v>
      </x:c>
      <x:c r="I65" s="141" t="n">
        <x:v>7</x:v>
      </x:c>
      <x:c r="J65" s="141" t="n">
        <x:v>0</x:v>
      </x:c>
    </x:row>
    <x:row r="66">
      <x:c r="A66" s="171" t="n">
        <x:v>46174</x:v>
      </x:c>
      <x:c r="B66" s="141" t="str">
        <x:v>Q2</x:v>
      </x:c>
      <x:c r="C66" s="141" t="str">
        <x:v>Engineering and Maintenance</x:v>
      </x:c>
      <x:c r="D66" s="141" t="n">
        <x:v>9</x:v>
      </x:c>
      <x:c r="E66" s="141" t="n">
        <x:v>234</x:v>
      </x:c>
      <x:c r="F66" s="141" t="n">
        <x:v>15.2</x:v>
      </x:c>
      <x:c r="G66" s="175" t="n">
        <x:v>0.06509999999999999</x:v>
      </x:c>
      <x:c r="H66" s="141" t="n">
        <x:v>21.4</x:v>
      </x:c>
      <x:c r="I66" s="141" t="n">
        <x:v>4</x:v>
      </x:c>
      <x:c r="J66" s="141" t="n">
        <x:v>1</x:v>
      </x:c>
    </x:row>
    <x:row r="67">
      <x:c r="A67" s="171" t="n">
        <x:v>46174</x:v>
      </x:c>
      <x:c r="B67" s="141" t="str">
        <x:v>Q2</x:v>
      </x:c>
      <x:c r="C67" s="141" t="str">
        <x:v>Research and Development</x:v>
      </x:c>
      <x:c r="D67" s="141" t="n">
        <x:v>9</x:v>
      </x:c>
      <x:c r="E67" s="141" t="n">
        <x:v>234</x:v>
      </x:c>
      <x:c r="F67" s="141" t="n">
        <x:v>11.3</x:v>
      </x:c>
      <x:c r="G67" s="175" t="n">
        <x:v>0.0481</x:v>
      </x:c>
      <x:c r="H67" s="141" t="n">
        <x:v>14</x:v>
      </x:c>
      <x:c r="I67" s="141" t="n">
        <x:v>6</x:v>
      </x:c>
      <x:c r="J67" s="141" t="n">
        <x:v>0</x:v>
      </x:c>
    </x:row>
    <x:row r="68">
      <x:c r="A68" s="171" t="n">
        <x:v>46174</x:v>
      </x:c>
      <x:c r="B68" s="141" t="str">
        <x:v>Q2</x:v>
      </x:c>
      <x:c r="C68" s="141" t="str">
        <x:v>Supply Chain and Planning</x:v>
      </x:c>
      <x:c r="D68" s="141" t="n">
        <x:v>3</x:v>
      </x:c>
      <x:c r="E68" s="141" t="n">
        <x:v>78</x:v>
      </x:c>
      <x:c r="F68" s="141" t="n">
        <x:v>4.5</x:v>
      </x:c>
      <x:c r="G68" s="175" t="n">
        <x:v>0.0583</x:v>
      </x:c>
      <x:c r="H68" s="141" t="n">
        <x:v>20.8</x:v>
      </x:c>
      <x:c r="I68" s="141" t="n">
        <x:v>2</x:v>
      </x:c>
      <x:c r="J68" s="141" t="n">
        <x:v>0</x:v>
      </x:c>
    </x:row>
    <x:row r="69">
      <x:c r="A69" s="171" t="n">
        <x:v>46174</x:v>
      </x:c>
      <x:c r="B69" s="141" t="str">
        <x:v>Q2</x:v>
      </x:c>
      <x:c r="C69" s="141" t="str">
        <x:v>Procurement</x:v>
      </x:c>
      <x:c r="D69" s="141" t="n">
        <x:v>1</x:v>
      </x:c>
      <x:c r="E69" s="141" t="n">
        <x:v>26</x:v>
      </x:c>
      <x:c r="F69" s="141" t="n">
        <x:v>1.2</x:v>
      </x:c>
      <x:c r="G69" s="175" t="n">
        <x:v>0.04769999999999999</x:v>
      </x:c>
      <x:c r="H69" s="141" t="n">
        <x:v>10.6</x:v>
      </x:c>
      <x:c r="I69" s="141" t="n">
        <x:v>2</x:v>
      </x:c>
      <x:c r="J69" s="141" t="n">
        <x:v>1</x:v>
      </x:c>
    </x:row>
    <x:row r="70">
      <x:c r="A70" s="171" t="n">
        <x:v>46174</x:v>
      </x:c>
      <x:c r="B70" s="141" t="str">
        <x:v>Q2</x:v>
      </x:c>
      <x:c r="C70" s="141" t="str">
        <x:v>Finance and Accounts</x:v>
      </x:c>
      <x:c r="D70" s="141" t="n">
        <x:v>1</x:v>
      </x:c>
      <x:c r="E70" s="141" t="n">
        <x:v>26</x:v>
      </x:c>
      <x:c r="F70" s="141" t="n">
        <x:v>1.1</x:v>
      </x:c>
      <x:c r="G70" s="175" t="n">
        <x:v>0.0429</x:v>
      </x:c>
      <x:c r="H70" s="141" t="n">
        <x:v>7.7</x:v>
      </x:c>
      <x:c r="I70" s="141" t="n">
        <x:v>0</x:v>
      </x:c>
      <x:c r="J70" s="141" t="n">
        <x:v>0</x:v>
      </x:c>
    </x:row>
    <x:row r="71">
      <x:c r="A71" s="171" t="n">
        <x:v>46174</x:v>
      </x:c>
      <x:c r="B71" s="141" t="str">
        <x:v>Q2</x:v>
      </x:c>
      <x:c r="C71" s="141" t="str">
        <x:v>IT Data and HRIS</x:v>
      </x:c>
      <x:c r="D71" s="141" t="n">
        <x:v>6</x:v>
      </x:c>
      <x:c r="E71" s="141" t="n">
        <x:v>156</x:v>
      </x:c>
      <x:c r="F71" s="141" t="n">
        <x:v>8.7</x:v>
      </x:c>
      <x:c r="G71" s="175" t="n">
        <x:v>0.0556</x:v>
      </x:c>
      <x:c r="H71" s="141" t="n">
        <x:v>13.7</x:v>
      </x:c>
      <x:c r="I71" s="141" t="n">
        <x:v>2</x:v>
      </x:c>
      <x:c r="J71" s="141" t="n">
        <x:v>0</x:v>
      </x:c>
    </x:row>
    <x:row r="72">
      <x:c r="A72" s="171" t="n">
        <x:v>46174</x:v>
      </x:c>
      <x:c r="B72" s="141" t="str">
        <x:v>Q2</x:v>
      </x:c>
      <x:c r="C72" s="141" t="str">
        <x:v>Sales Distribution and Service</x:v>
      </x:c>
      <x:c r="D72" s="141" t="n">
        <x:v>2</x:v>
      </x:c>
      <x:c r="E72" s="141" t="n">
        <x:v>52</x:v>
      </x:c>
      <x:c r="F72" s="141" t="n">
        <x:v>2.9</x:v>
      </x:c>
      <x:c r="G72" s="175" t="n">
        <x:v>0.0552</x:v>
      </x:c>
      <x:c r="H72" s="141" t="n">
        <x:v>6.9</x:v>
      </x:c>
      <x:c r="I72" s="141" t="n">
        <x:v>0</x:v>
      </x:c>
      <x:c r="J72" s="141" t="n">
        <x:v>1</x:v>
      </x:c>
    </x:row>
    <x:row r="73">
      <x:c r="A73" s="171" t="n">
        <x:v>46174</x:v>
      </x:c>
      <x:c r="B73" s="141" t="str">
        <x:v>Q2</x:v>
      </x:c>
      <x:c r="C73" s="141" t="str">
        <x:v>EHS and Regulatory Compliance</x:v>
      </x:c>
      <x:c r="D73" s="141" t="n">
        <x:v>1</x:v>
      </x:c>
      <x:c r="E73" s="141" t="n">
        <x:v>26</x:v>
      </x:c>
      <x:c r="F73" s="141" t="n">
        <x:v>1.6</x:v>
      </x:c>
      <x:c r="G73" s="175" t="n">
        <x:v>0.063</x:v>
      </x:c>
      <x:c r="H73" s="141" t="n">
        <x:v>15.5</x:v>
      </x:c>
      <x:c r="I73" s="141" t="n">
        <x:v>0</x:v>
      </x:c>
      <x:c r="J73" s="141" t="n">
        <x:v>0</x:v>
      </x:c>
    </x:row>
    <x:row r="74">
      <x:c r="A74" s="171" t="n">
        <x:v>46174</x:v>
      </x:c>
      <x:c r="B74" s="141" t="str">
        <x:v>Q2</x:v>
      </x:c>
      <x:c r="C74" s="141" t="str">
        <x:v>Administration and Security</x:v>
      </x:c>
      <x:c r="D74" s="141" t="n">
        <x:v>1</x:v>
      </x:c>
      <x:c r="E74" s="141" t="n">
        <x:v>26</x:v>
      </x:c>
      <x:c r="F74" s="141" t="n">
        <x:v>1.4</x:v>
      </x:c>
      <x:c r="G74" s="175" t="n">
        <x:v>0.053099999999999994</x:v>
      </x:c>
      <x:c r="H74" s="141" t="n">
        <x:v>12.8</x:v>
      </x:c>
      <x:c r="I74" s="141" t="n">
        <x:v>0</x:v>
      </x:c>
      <x:c r="J74" s="141" t="n">
        <x:v>0</x:v>
      </x:c>
    </x:row>
    <x:row r="75">
      <x:c r="A75" s="171" t="n">
        <x:v>46204</x:v>
      </x:c>
      <x:c r="B75" s="141" t="str">
        <x:v>Q3</x:v>
      </x:c>
      <x:c r="C75" s="141" t="str">
        <x:v>Human Resources and People</x:v>
      </x:c>
      <x:c r="D75" s="141" t="n">
        <x:v>3</x:v>
      </x:c>
      <x:c r="E75" s="141" t="n">
        <x:v>78</x:v>
      </x:c>
      <x:c r="F75" s="141" t="n">
        <x:v>3.4</x:v>
      </x:c>
      <x:c r="G75" s="175" t="n">
        <x:v>0.0433</x:v>
      </x:c>
      <x:c r="H75" s="141" t="n">
        <x:v>6.2</x:v>
      </x:c>
      <x:c r="I75" s="141" t="n">
        <x:v>0</x:v>
      </x:c>
      <x:c r="J75" s="141" t="n">
        <x:v>0</x:v>
      </x:c>
    </x:row>
    <x:row r="76">
      <x:c r="A76" s="171" t="n">
        <x:v>46204</x:v>
      </x:c>
      <x:c r="B76" s="141" t="str">
        <x:v>Q3</x:v>
      </x:c>
      <x:c r="C76" s="141" t="str">
        <x:v>Smartwatch Production</x:v>
      </x:c>
      <x:c r="D76" s="141" t="n">
        <x:v>22</x:v>
      </x:c>
      <x:c r="E76" s="141" t="n">
        <x:v>572</x:v>
      </x:c>
      <x:c r="F76" s="141" t="n">
        <x:v>32.1</x:v>
      </x:c>
      <x:c r="G76" s="175" t="n">
        <x:v>0.056100000000000004</x:v>
      </x:c>
      <x:c r="H76" s="141" t="n">
        <x:v>15.1</x:v>
      </x:c>
      <x:c r="I76" s="141" t="n">
        <x:v>4</x:v>
      </x:c>
      <x:c r="J76" s="141" t="n">
        <x:v>1</x:v>
      </x:c>
    </x:row>
    <x:row r="77">
      <x:c r="A77" s="171" t="n">
        <x:v>46204</x:v>
      </x:c>
      <x:c r="B77" s="141" t="str">
        <x:v>Q3</x:v>
      </x:c>
      <x:c r="C77" s="141" t="str">
        <x:v>Quality Assurance</x:v>
      </x:c>
      <x:c r="D77" s="141" t="n">
        <x:v>13</x:v>
      </x:c>
      <x:c r="E77" s="141" t="n">
        <x:v>338</x:v>
      </x:c>
      <x:c r="F77" s="141" t="n">
        <x:v>16.5</x:v>
      </x:c>
      <x:c r="G77" s="175" t="n">
        <x:v>0.0489</x:v>
      </x:c>
      <x:c r="H77" s="141" t="n">
        <x:v>15.7</x:v>
      </x:c>
      <x:c r="I77" s="141" t="n">
        <x:v>3</x:v>
      </x:c>
      <x:c r="J77" s="141" t="n">
        <x:v>0</x:v>
      </x:c>
    </x:row>
    <x:row r="78">
      <x:c r="A78" s="171" t="n">
        <x:v>46204</x:v>
      </x:c>
      <x:c r="B78" s="141" t="str">
        <x:v>Q3</x:v>
      </x:c>
      <x:c r="C78" s="141" t="str">
        <x:v>Engineering and Maintenance</x:v>
      </x:c>
      <x:c r="D78" s="141" t="n">
        <x:v>9</x:v>
      </x:c>
      <x:c r="E78" s="141" t="n">
        <x:v>234</x:v>
      </x:c>
      <x:c r="F78" s="141" t="n">
        <x:v>11.7</x:v>
      </x:c>
      <x:c r="G78" s="175" t="n">
        <x:v>0.0499</x:v>
      </x:c>
      <x:c r="H78" s="141" t="n">
        <x:v>16.6</x:v>
      </x:c>
      <x:c r="I78" s="141" t="n">
        <x:v>0</x:v>
      </x:c>
      <x:c r="J78" s="141" t="n">
        <x:v>0</x:v>
      </x:c>
    </x:row>
    <x:row r="79">
      <x:c r="A79" s="171" t="n">
        <x:v>46204</x:v>
      </x:c>
      <x:c r="B79" s="141" t="str">
        <x:v>Q3</x:v>
      </x:c>
      <x:c r="C79" s="141" t="str">
        <x:v>Research and Development</x:v>
      </x:c>
      <x:c r="D79" s="141" t="n">
        <x:v>9</x:v>
      </x:c>
      <x:c r="E79" s="141" t="n">
        <x:v>234</x:v>
      </x:c>
      <x:c r="F79" s="141" t="n">
        <x:v>13.1</x:v>
      </x:c>
      <x:c r="G79" s="175" t="n">
        <x:v>0.0559</x:v>
      </x:c>
      <x:c r="H79" s="141" t="n">
        <x:v>11.5</x:v>
      </x:c>
      <x:c r="I79" s="141" t="n">
        <x:v>2</x:v>
      </x:c>
      <x:c r="J79" s="141" t="n">
        <x:v>0</x:v>
      </x:c>
    </x:row>
    <x:row r="80">
      <x:c r="A80" s="171" t="n">
        <x:v>46204</x:v>
      </x:c>
      <x:c r="B80" s="141" t="str">
        <x:v>Q3</x:v>
      </x:c>
      <x:c r="C80" s="141" t="str">
        <x:v>Supply Chain and Planning</x:v>
      </x:c>
      <x:c r="D80" s="141" t="n">
        <x:v>4</x:v>
      </x:c>
      <x:c r="E80" s="141" t="n">
        <x:v>104</x:v>
      </x:c>
      <x:c r="F80" s="141" t="n">
        <x:v>6</x:v>
      </x:c>
      <x:c r="G80" s="175" t="n">
        <x:v>0.057999999999999996</x:v>
      </x:c>
      <x:c r="H80" s="141" t="n">
        <x:v>18</x:v>
      </x:c>
      <x:c r="I80" s="141" t="n">
        <x:v>3</x:v>
      </x:c>
      <x:c r="J80" s="141" t="n">
        <x:v>0</x:v>
      </x:c>
    </x:row>
    <x:row r="81">
      <x:c r="A81" s="171" t="n">
        <x:v>46204</x:v>
      </x:c>
      <x:c r="B81" s="141" t="str">
        <x:v>Q3</x:v>
      </x:c>
      <x:c r="C81" s="141" t="str">
        <x:v>Procurement</x:v>
      </x:c>
      <x:c r="D81" s="141" t="n">
        <x:v>1</x:v>
      </x:c>
      <x:c r="E81" s="141" t="n">
        <x:v>26</x:v>
      </x:c>
      <x:c r="F81" s="141" t="n">
        <x:v>1</x:v>
      </x:c>
      <x:c r="G81" s="175" t="n">
        <x:v>0.037000000000000005</x:v>
      </x:c>
      <x:c r="H81" s="141" t="n">
        <x:v>6.1</x:v>
      </x:c>
      <x:c r="I81" s="141" t="n">
        <x:v>0</x:v>
      </x:c>
      <x:c r="J81" s="141" t="n">
        <x:v>0</x:v>
      </x:c>
    </x:row>
    <x:row r="82">
      <x:c r="A82" s="171" t="n">
        <x:v>46204</x:v>
      </x:c>
      <x:c r="B82" s="141" t="str">
        <x:v>Q3</x:v>
      </x:c>
      <x:c r="C82" s="141" t="str">
        <x:v>Finance and Accounts</x:v>
      </x:c>
      <x:c r="D82" s="141" t="n">
        <x:v>1</x:v>
      </x:c>
      <x:c r="E82" s="141" t="n">
        <x:v>26</x:v>
      </x:c>
      <x:c r="F82" s="141" t="n">
        <x:v>1.3</x:v>
      </x:c>
      <x:c r="G82" s="175" t="n">
        <x:v>0.0495</x:v>
      </x:c>
      <x:c r="H82" s="141" t="n">
        <x:v>6.4</x:v>
      </x:c>
      <x:c r="I82" s="141" t="n">
        <x:v>0</x:v>
      </x:c>
      <x:c r="J82" s="141" t="n">
        <x:v>0</x:v>
      </x:c>
    </x:row>
    <x:row r="83">
      <x:c r="A83" s="171" t="n">
        <x:v>46204</x:v>
      </x:c>
      <x:c r="B83" s="141" t="str">
        <x:v>Q3</x:v>
      </x:c>
      <x:c r="C83" s="141" t="str">
        <x:v>IT Data and HRIS</x:v>
      </x:c>
      <x:c r="D83" s="141" t="n">
        <x:v>7</x:v>
      </x:c>
      <x:c r="E83" s="141" t="n">
        <x:v>182</x:v>
      </x:c>
      <x:c r="F83" s="141" t="n">
        <x:v>9.7</x:v>
      </x:c>
      <x:c r="G83" s="175" t="n">
        <x:v>0.053099999999999994</x:v>
      </x:c>
      <x:c r="H83" s="141" t="n">
        <x:v>5.4</x:v>
      </x:c>
      <x:c r="I83" s="141" t="n">
        <x:v>0</x:v>
      </x:c>
      <x:c r="J83" s="141" t="n">
        <x:v>0</x:v>
      </x:c>
    </x:row>
    <x:row r="84">
      <x:c r="A84" s="171" t="n">
        <x:v>46204</x:v>
      </x:c>
      <x:c r="B84" s="141" t="str">
        <x:v>Q3</x:v>
      </x:c>
      <x:c r="C84" s="141" t="str">
        <x:v>Sales Distribution and Service</x:v>
      </x:c>
      <x:c r="D84" s="141" t="n">
        <x:v>3</x:v>
      </x:c>
      <x:c r="E84" s="141" t="n">
        <x:v>78</x:v>
      </x:c>
      <x:c r="F84" s="141" t="n">
        <x:v>4.3</x:v>
      </x:c>
      <x:c r="G84" s="175" t="n">
        <x:v>0.0548</x:v>
      </x:c>
      <x:c r="H84" s="141" t="n">
        <x:v>10.2</x:v>
      </x:c>
      <x:c r="I84" s="141" t="n">
        <x:v>4</x:v>
      </x:c>
      <x:c r="J84" s="141" t="n">
        <x:v>0</x:v>
      </x:c>
    </x:row>
    <x:row r="85">
      <x:c r="A85" s="171" t="n">
        <x:v>46204</x:v>
      </x:c>
      <x:c r="B85" s="141" t="str">
        <x:v>Q3</x:v>
      </x:c>
      <x:c r="C85" s="141" t="str">
        <x:v>EHS and Regulatory Compliance</x:v>
      </x:c>
      <x:c r="D85" s="141" t="n">
        <x:v>1</x:v>
      </x:c>
      <x:c r="E85" s="141" t="n">
        <x:v>26</x:v>
      </x:c>
      <x:c r="F85" s="141" t="n">
        <x:v>1.2</x:v>
      </x:c>
      <x:c r="G85" s="175" t="n">
        <x:v>0.0473</x:v>
      </x:c>
      <x:c r="H85" s="141" t="n">
        <x:v>9.3</x:v>
      </x:c>
      <x:c r="I85" s="141" t="n">
        <x:v>0</x:v>
      </x:c>
      <x:c r="J85" s="141" t="n">
        <x:v>0</x:v>
      </x:c>
    </x:row>
    <x:row r="86">
      <x:c r="A86" s="171" t="n">
        <x:v>46204</x:v>
      </x:c>
      <x:c r="B86" s="141" t="str">
        <x:v>Q3</x:v>
      </x:c>
      <x:c r="C86" s="141" t="str">
        <x:v>Administration and Security</x:v>
      </x:c>
      <x:c r="D86" s="141" t="n">
        <x:v>1</x:v>
      </x:c>
      <x:c r="E86" s="141" t="n">
        <x:v>26</x:v>
      </x:c>
      <x:c r="F86" s="141" t="n">
        <x:v>0.9</x:v>
      </x:c>
      <x:c r="G86" s="175" t="n">
        <x:v>0.0356</x:v>
      </x:c>
      <x:c r="H86" s="141" t="n">
        <x:v>9.8</x:v>
      </x:c>
      <x:c r="I86" s="141" t="n">
        <x:v>0</x:v>
      </x:c>
      <x:c r="J86" s="141" t="n">
        <x:v>0</x:v>
      </x:c>
    </x:row>
    <x:row r="87">
      <x:c r="A87" s="171" t="n">
        <x:v>46235</x:v>
      </x:c>
      <x:c r="B87" s="141" t="str">
        <x:v>Q3</x:v>
      </x:c>
      <x:c r="C87" s="141" t="str">
        <x:v>Human Resources and People</x:v>
      </x:c>
      <x:c r="D87" s="141" t="n">
        <x:v>3</x:v>
      </x:c>
      <x:c r="E87" s="141" t="n">
        <x:v>78</x:v>
      </x:c>
      <x:c r="F87" s="141" t="n">
        <x:v>3.9</x:v>
      </x:c>
      <x:c r="G87" s="175" t="n">
        <x:v>0.049699999999999994</x:v>
      </x:c>
      <x:c r="H87" s="141" t="n">
        <x:v>11.9</x:v>
      </x:c>
      <x:c r="I87" s="141" t="n">
        <x:v>0</x:v>
      </x:c>
      <x:c r="J87" s="141" t="n">
        <x:v>0</x:v>
      </x:c>
    </x:row>
    <x:row r="88">
      <x:c r="A88" s="171" t="n">
        <x:v>46235</x:v>
      </x:c>
      <x:c r="B88" s="141" t="str">
        <x:v>Q3</x:v>
      </x:c>
      <x:c r="C88" s="141" t="str">
        <x:v>Smartwatch Production</x:v>
      </x:c>
      <x:c r="D88" s="141" t="n">
        <x:v>29</x:v>
      </x:c>
      <x:c r="E88" s="141" t="n">
        <x:v>754</x:v>
      </x:c>
      <x:c r="F88" s="141" t="n">
        <x:v>41.8</x:v>
      </x:c>
      <x:c r="G88" s="175" t="n">
        <x:v>0.0555</x:v>
      </x:c>
      <x:c r="H88" s="141" t="n">
        <x:v>18.1</x:v>
      </x:c>
      <x:c r="I88" s="141" t="n">
        <x:v>8</x:v>
      </x:c>
      <x:c r="J88" s="141" t="n">
        <x:v>0</x:v>
      </x:c>
    </x:row>
    <x:row r="89">
      <x:c r="A89" s="171" t="n">
        <x:v>46235</x:v>
      </x:c>
      <x:c r="B89" s="141" t="str">
        <x:v>Q3</x:v>
      </x:c>
      <x:c r="C89" s="141" t="str">
        <x:v>Quality Assurance</x:v>
      </x:c>
      <x:c r="D89" s="141" t="n">
        <x:v>15</x:v>
      </x:c>
      <x:c r="E89" s="141" t="n">
        <x:v>390</x:v>
      </x:c>
      <x:c r="F89" s="141" t="n">
        <x:v>18.8</x:v>
      </x:c>
      <x:c r="G89" s="175" t="n">
        <x:v>0.0481</x:v>
      </x:c>
      <x:c r="H89" s="141" t="n">
        <x:v>11.2</x:v>
      </x:c>
      <x:c r="I89" s="141" t="n">
        <x:v>4</x:v>
      </x:c>
      <x:c r="J89" s="141" t="n">
        <x:v>0</x:v>
      </x:c>
    </x:row>
    <x:row r="90">
      <x:c r="A90" s="171" t="n">
        <x:v>46235</x:v>
      </x:c>
      <x:c r="B90" s="141" t="str">
        <x:v>Q3</x:v>
      </x:c>
      <x:c r="C90" s="141" t="str">
        <x:v>Engineering and Maintenance</x:v>
      </x:c>
      <x:c r="D90" s="141" t="n">
        <x:v>11</x:v>
      </x:c>
      <x:c r="E90" s="141" t="n">
        <x:v>286</x:v>
      </x:c>
      <x:c r="F90" s="141" t="n">
        <x:v>15.7</x:v>
      </x:c>
      <x:c r="G90" s="175" t="n">
        <x:v>0.054900000000000004</x:v>
      </x:c>
      <x:c r="H90" s="141" t="n">
        <x:v>14.8</x:v>
      </x:c>
      <x:c r="I90" s="141" t="n">
        <x:v>0</x:v>
      </x:c>
      <x:c r="J90" s="141" t="n">
        <x:v>0</x:v>
      </x:c>
    </x:row>
    <x:row r="91">
      <x:c r="A91" s="171" t="n">
        <x:v>46235</x:v>
      </x:c>
      <x:c r="B91" s="141" t="str">
        <x:v>Q3</x:v>
      </x:c>
      <x:c r="C91" s="141" t="str">
        <x:v>Research and Development</x:v>
      </x:c>
      <x:c r="D91" s="141" t="n">
        <x:v>11</x:v>
      </x:c>
      <x:c r="E91" s="141" t="n">
        <x:v>286</x:v>
      </x:c>
      <x:c r="F91" s="141" t="n">
        <x:v>9.6</x:v>
      </x:c>
      <x:c r="G91" s="175" t="n">
        <x:v>0.0337</x:v>
      </x:c>
      <x:c r="H91" s="141" t="n">
        <x:v>8.1</x:v>
      </x:c>
      <x:c r="I91" s="141" t="n">
        <x:v>3</x:v>
      </x:c>
      <x:c r="J91" s="141" t="n">
        <x:v>0</x:v>
      </x:c>
    </x:row>
    <x:row r="92">
      <x:c r="A92" s="171" t="n">
        <x:v>46235</x:v>
      </x:c>
      <x:c r="B92" s="141" t="str">
        <x:v>Q3</x:v>
      </x:c>
      <x:c r="C92" s="141" t="str">
        <x:v>Supply Chain and Planning</x:v>
      </x:c>
      <x:c r="D92" s="141" t="n">
        <x:v>4</x:v>
      </x:c>
      <x:c r="E92" s="141" t="n">
        <x:v>104</x:v>
      </x:c>
      <x:c r="F92" s="141" t="n">
        <x:v>5.7</x:v>
      </x:c>
      <x:c r="G92" s="175" t="n">
        <x:v>0.054400000000000004</x:v>
      </x:c>
      <x:c r="H92" s="141" t="n">
        <x:v>15</x:v>
      </x:c>
      <x:c r="I92" s="141" t="n">
        <x:v>0</x:v>
      </x:c>
      <x:c r="J92" s="141" t="n">
        <x:v>0</x:v>
      </x:c>
    </x:row>
    <x:row r="93">
      <x:c r="A93" s="171" t="n">
        <x:v>46235</x:v>
      </x:c>
      <x:c r="B93" s="141" t="str">
        <x:v>Q3</x:v>
      </x:c>
      <x:c r="C93" s="141" t="str">
        <x:v>Procurement</x:v>
      </x:c>
      <x:c r="D93" s="141" t="n">
        <x:v>1</x:v>
      </x:c>
      <x:c r="E93" s="141" t="n">
        <x:v>26</x:v>
      </x:c>
      <x:c r="F93" s="141" t="n">
        <x:v>1.2</x:v>
      </x:c>
      <x:c r="G93" s="175" t="n">
        <x:v>0.0475</x:v>
      </x:c>
      <x:c r="H93" s="141" t="n">
        <x:v>8.5</x:v>
      </x:c>
      <x:c r="I93" s="141" t="n">
        <x:v>0</x:v>
      </x:c>
      <x:c r="J93" s="141" t="n">
        <x:v>0</x:v>
      </x:c>
    </x:row>
    <x:row r="94">
      <x:c r="A94" s="171" t="n">
        <x:v>46235</x:v>
      </x:c>
      <x:c r="B94" s="141" t="str">
        <x:v>Q3</x:v>
      </x:c>
      <x:c r="C94" s="141" t="str">
        <x:v>Finance and Accounts</x:v>
      </x:c>
      <x:c r="D94" s="141" t="n">
        <x:v>2</x:v>
      </x:c>
      <x:c r="E94" s="141" t="n">
        <x:v>52</x:v>
      </x:c>
      <x:c r="F94" s="141" t="n">
        <x:v>1.9</x:v>
      </x:c>
      <x:c r="G94" s="175" t="n">
        <x:v>0.0364</x:v>
      </x:c>
      <x:c r="H94" s="141" t="n">
        <x:v>6.2</x:v>
      </x:c>
      <x:c r="I94" s="141" t="n">
        <x:v>2</x:v>
      </x:c>
      <x:c r="J94" s="141" t="n">
        <x:v>0</x:v>
      </x:c>
    </x:row>
    <x:row r="95">
      <x:c r="A95" s="171" t="n">
        <x:v>46235</x:v>
      </x:c>
      <x:c r="B95" s="141" t="str">
        <x:v>Q3</x:v>
      </x:c>
      <x:c r="C95" s="141" t="str">
        <x:v>IT Data and HRIS</x:v>
      </x:c>
      <x:c r="D95" s="141" t="n">
        <x:v>8</x:v>
      </x:c>
      <x:c r="E95" s="141" t="n">
        <x:v>208</x:v>
      </x:c>
      <x:c r="F95" s="141" t="n">
        <x:v>8.6</x:v>
      </x:c>
      <x:c r="G95" s="175" t="n">
        <x:v>0.0414</x:v>
      </x:c>
      <x:c r="H95" s="141" t="n">
        <x:v>4</x:v>
      </x:c>
      <x:c r="I95" s="141" t="n">
        <x:v>0</x:v>
      </x:c>
      <x:c r="J95" s="141" t="n">
        <x:v>1</x:v>
      </x:c>
    </x:row>
    <x:row r="96">
      <x:c r="A96" s="171" t="n">
        <x:v>46235</x:v>
      </x:c>
      <x:c r="B96" s="141" t="str">
        <x:v>Q3</x:v>
      </x:c>
      <x:c r="C96" s="141" t="str">
        <x:v>Sales Distribution and Service</x:v>
      </x:c>
      <x:c r="D96" s="141" t="n">
        <x:v>4</x:v>
      </x:c>
      <x:c r="E96" s="141" t="n">
        <x:v>104</x:v>
      </x:c>
      <x:c r="F96" s="141" t="n">
        <x:v>4.4</x:v>
      </x:c>
      <x:c r="G96" s="175" t="n">
        <x:v>0.0421</x:v>
      </x:c>
      <x:c r="H96" s="141" t="n">
        <x:v>6.6</x:v>
      </x:c>
      <x:c r="I96" s="141" t="n">
        <x:v>4</x:v>
      </x:c>
      <x:c r="J96" s="141" t="n">
        <x:v>0</x:v>
      </x:c>
    </x:row>
    <x:row r="97">
      <x:c r="A97" s="171" t="n">
        <x:v>46235</x:v>
      </x:c>
      <x:c r="B97" s="141" t="str">
        <x:v>Q3</x:v>
      </x:c>
      <x:c r="C97" s="141" t="str">
        <x:v>EHS and Regulatory Compliance</x:v>
      </x:c>
      <x:c r="D97" s="141" t="n">
        <x:v>1</x:v>
      </x:c>
      <x:c r="E97" s="141" t="n">
        <x:v>26</x:v>
      </x:c>
      <x:c r="F97" s="141" t="n">
        <x:v>1</x:v>
      </x:c>
      <x:c r="G97" s="175" t="n">
        <x:v>0.0393</x:v>
      </x:c>
      <x:c r="H97" s="141" t="n">
        <x:v>8.3</x:v>
      </x:c>
      <x:c r="I97" s="141" t="n">
        <x:v>0</x:v>
      </x:c>
      <x:c r="J97" s="141" t="n">
        <x:v>0</x:v>
      </x:c>
    </x:row>
    <x:row r="98">
      <x:c r="A98" s="171" t="n">
        <x:v>46235</x:v>
      </x:c>
      <x:c r="B98" s="141" t="str">
        <x:v>Q3</x:v>
      </x:c>
      <x:c r="C98" s="141" t="str">
        <x:v>Administration and Security</x:v>
      </x:c>
      <x:c r="D98" s="141" t="n">
        <x:v>1</x:v>
      </x:c>
      <x:c r="E98" s="141" t="n">
        <x:v>26</x:v>
      </x:c>
      <x:c r="F98" s="141" t="n">
        <x:v>1.2</x:v>
      </x:c>
      <x:c r="G98" s="175" t="n">
        <x:v>0.0451</x:v>
      </x:c>
      <x:c r="H98" s="141" t="n">
        <x:v>8.2</x:v>
      </x:c>
      <x:c r="I98" s="141" t="n">
        <x:v>0</x:v>
      </x:c>
      <x:c r="J98" s="141" t="n">
        <x:v>0</x:v>
      </x:c>
    </x:row>
    <x:row r="99">
      <x:c r="A99" s="171" t="n">
        <x:v>46266</x:v>
      </x:c>
      <x:c r="B99" s="141" t="str">
        <x:v>Q3</x:v>
      </x:c>
      <x:c r="C99" s="141" t="str">
        <x:v>Human Resources and People</x:v>
      </x:c>
      <x:c r="D99" s="141" t="n">
        <x:v>4</x:v>
      </x:c>
      <x:c r="E99" s="141" t="n">
        <x:v>104</x:v>
      </x:c>
      <x:c r="F99" s="141" t="n">
        <x:v>3.4</x:v>
      </x:c>
      <x:c r="G99" s="175" t="n">
        <x:v>0.0331</x:v>
      </x:c>
      <x:c r="H99" s="141" t="n">
        <x:v>5.5</x:v>
      </x:c>
      <x:c r="I99" s="141" t="n">
        <x:v>0</x:v>
      </x:c>
      <x:c r="J99" s="141" t="n">
        <x:v>0</x:v>
      </x:c>
    </x:row>
    <x:row r="100">
      <x:c r="A100" s="171" t="n">
        <x:v>46266</x:v>
      </x:c>
      <x:c r="B100" s="141" t="str">
        <x:v>Q3</x:v>
      </x:c>
      <x:c r="C100" s="141" t="str">
        <x:v>Smartwatch Production</x:v>
      </x:c>
      <x:c r="D100" s="141" t="n">
        <x:v>35</x:v>
      </x:c>
      <x:c r="E100" s="141" t="n">
        <x:v>910</x:v>
      </x:c>
      <x:c r="F100" s="141" t="n">
        <x:v>36.6</x:v>
      </x:c>
      <x:c r="G100" s="175" t="n">
        <x:v>0.04019999999999999</x:v>
      </x:c>
      <x:c r="H100" s="141" t="n">
        <x:v>8.8</x:v>
      </x:c>
      <x:c r="I100" s="141" t="n">
        <x:v>6</x:v>
      </x:c>
      <x:c r="J100" s="141" t="n">
        <x:v>1</x:v>
      </x:c>
    </x:row>
    <x:row r="101">
      <x:c r="A101" s="171" t="n">
        <x:v>46266</x:v>
      </x:c>
      <x:c r="B101" s="141" t="str">
        <x:v>Q3</x:v>
      </x:c>
      <x:c r="C101" s="141" t="str">
        <x:v>Quality Assurance</x:v>
      </x:c>
      <x:c r="D101" s="141" t="n">
        <x:v>15</x:v>
      </x:c>
      <x:c r="E101" s="141" t="n">
        <x:v>390</x:v>
      </x:c>
      <x:c r="F101" s="141" t="n">
        <x:v>17.9</x:v>
      </x:c>
      <x:c r="G101" s="175" t="n">
        <x:v>0.046</x:v>
      </x:c>
      <x:c r="H101" s="141" t="n">
        <x:v>11.9</x:v>
      </x:c>
      <x:c r="I101" s="141" t="n">
        <x:v>3</x:v>
      </x:c>
      <x:c r="J101" s="141" t="n">
        <x:v>0</x:v>
      </x:c>
    </x:row>
    <x:row r="102">
      <x:c r="A102" s="171" t="n">
        <x:v>46266</x:v>
      </x:c>
      <x:c r="B102" s="141" t="str">
        <x:v>Q3</x:v>
      </x:c>
      <x:c r="C102" s="141" t="str">
        <x:v>Engineering and Maintenance</x:v>
      </x:c>
      <x:c r="D102" s="141" t="n">
        <x:v>12</x:v>
      </x:c>
      <x:c r="E102" s="141" t="n">
        <x:v>312</x:v>
      </x:c>
      <x:c r="F102" s="141" t="n">
        <x:v>17.1</x:v>
      </x:c>
      <x:c r="G102" s="175" t="n">
        <x:v>0.0547</x:v>
      </x:c>
      <x:c r="H102" s="141" t="n">
        <x:v>10.4</x:v>
      </x:c>
      <x:c r="I102" s="141" t="n">
        <x:v>2</x:v>
      </x:c>
      <x:c r="J102" s="141" t="n">
        <x:v>0</x:v>
      </x:c>
    </x:row>
    <x:row r="103">
      <x:c r="A103" s="171" t="n">
        <x:v>46266</x:v>
      </x:c>
      <x:c r="B103" s="141" t="str">
        <x:v>Q3</x:v>
      </x:c>
      <x:c r="C103" s="141" t="str">
        <x:v>Research and Development</x:v>
      </x:c>
      <x:c r="D103" s="141" t="n">
        <x:v>12</x:v>
      </x:c>
      <x:c r="E103" s="141" t="n">
        <x:v>312</x:v>
      </x:c>
      <x:c r="F103" s="141" t="n">
        <x:v>9.7</x:v>
      </x:c>
      <x:c r="G103" s="175" t="n">
        <x:v>0.031200000000000002</x:v>
      </x:c>
      <x:c r="H103" s="141" t="n">
        <x:v>8.8</x:v>
      </x:c>
      <x:c r="I103" s="141" t="n">
        <x:v>1</x:v>
      </x:c>
      <x:c r="J103" s="141" t="n">
        <x:v>1</x:v>
      </x:c>
    </x:row>
    <x:row r="104">
      <x:c r="A104" s="171" t="n">
        <x:v>46266</x:v>
      </x:c>
      <x:c r="B104" s="141" t="str">
        <x:v>Q3</x:v>
      </x:c>
      <x:c r="C104" s="141" t="str">
        <x:v>Supply Chain and Planning</x:v>
      </x:c>
      <x:c r="D104" s="141" t="n">
        <x:v>5</x:v>
      </x:c>
      <x:c r="E104" s="141" t="n">
        <x:v>130</x:v>
      </x:c>
      <x:c r="F104" s="141" t="n">
        <x:v>7.6</x:v>
      </x:c>
      <x:c r="G104" s="175" t="n">
        <x:v>0.0588</x:v>
      </x:c>
      <x:c r="H104" s="141" t="n">
        <x:v>14.2</x:v>
      </x:c>
      <x:c r="I104" s="141" t="n">
        <x:v>4</x:v>
      </x:c>
      <x:c r="J104" s="141" t="n">
        <x:v>0</x:v>
      </x:c>
    </x:row>
    <x:row r="105">
      <x:c r="A105" s="171" t="n">
        <x:v>46266</x:v>
      </x:c>
      <x:c r="B105" s="141" t="str">
        <x:v>Q3</x:v>
      </x:c>
      <x:c r="C105" s="141" t="str">
        <x:v>Procurement</x:v>
      </x:c>
      <x:c r="D105" s="141" t="n">
        <x:v>1</x:v>
      </x:c>
      <x:c r="E105" s="141" t="n">
        <x:v>26</x:v>
      </x:c>
      <x:c r="F105" s="141" t="n">
        <x:v>1</x:v>
      </x:c>
      <x:c r="G105" s="175" t="n">
        <x:v>0.0368</x:v>
      </x:c>
      <x:c r="H105" s="141" t="n">
        <x:v>2.4</x:v>
      </x:c>
      <x:c r="I105" s="141" t="n">
        <x:v>0</x:v>
      </x:c>
      <x:c r="J105" s="141" t="n">
        <x:v>0</x:v>
      </x:c>
    </x:row>
    <x:row r="106">
      <x:c r="A106" s="171" t="n">
        <x:v>46266</x:v>
      </x:c>
      <x:c r="B106" s="141" t="str">
        <x:v>Q3</x:v>
      </x:c>
      <x:c r="C106" s="141" t="str">
        <x:v>Finance and Accounts</x:v>
      </x:c>
      <x:c r="D106" s="141" t="n">
        <x:v>2</x:v>
      </x:c>
      <x:c r="E106" s="141" t="n">
        <x:v>52</x:v>
      </x:c>
      <x:c r="F106" s="141" t="n">
        <x:v>3</x:v>
      </x:c>
      <x:c r="G106" s="175" t="n">
        <x:v>0.0574</x:v>
      </x:c>
      <x:c r="H106" s="141" t="n">
        <x:v>6.3</x:v>
      </x:c>
      <x:c r="I106" s="141" t="n">
        <x:v>0</x:v>
      </x:c>
      <x:c r="J106" s="141" t="n">
        <x:v>0</x:v>
      </x:c>
    </x:row>
    <x:row r="107">
      <x:c r="A107" s="171" t="n">
        <x:v>46266</x:v>
      </x:c>
      <x:c r="B107" s="141" t="str">
        <x:v>Q3</x:v>
      </x:c>
      <x:c r="C107" s="141" t="str">
        <x:v>IT Data and HRIS</x:v>
      </x:c>
      <x:c r="D107" s="141" t="n">
        <x:v>8</x:v>
      </x:c>
      <x:c r="E107" s="141" t="n">
        <x:v>208</x:v>
      </x:c>
      <x:c r="F107" s="141" t="n">
        <x:v>7.1</x:v>
      </x:c>
      <x:c r="G107" s="175" t="n">
        <x:v>0.0339</x:v>
      </x:c>
      <x:c r="H107" s="141" t="n">
        <x:v>8.3</x:v>
      </x:c>
      <x:c r="I107" s="141" t="n">
        <x:v>2</x:v>
      </x:c>
      <x:c r="J107" s="141" t="n">
        <x:v>0</x:v>
      </x:c>
    </x:row>
    <x:row r="108">
      <x:c r="A108" s="171" t="n">
        <x:v>46266</x:v>
      </x:c>
      <x:c r="B108" s="141" t="str">
        <x:v>Q3</x:v>
      </x:c>
      <x:c r="C108" s="141" t="str">
        <x:v>Sales Distribution and Service</x:v>
      </x:c>
      <x:c r="D108" s="141" t="n">
        <x:v>3</x:v>
      </x:c>
      <x:c r="E108" s="141" t="n">
        <x:v>78</x:v>
      </x:c>
      <x:c r="F108" s="141" t="n">
        <x:v>3.5</x:v>
      </x:c>
      <x:c r="G108" s="175" t="n">
        <x:v>0.044500000000000005</x:v>
      </x:c>
      <x:c r="H108" s="141" t="n">
        <x:v>5.4</x:v>
      </x:c>
      <x:c r="I108" s="141" t="n">
        <x:v>0</x:v>
      </x:c>
      <x:c r="J108" s="141" t="n">
        <x:v>0</x:v>
      </x:c>
    </x:row>
    <x:row r="109">
      <x:c r="A109" s="171" t="n">
        <x:v>46266</x:v>
      </x:c>
      <x:c r="B109" s="141" t="str">
        <x:v>Q3</x:v>
      </x:c>
      <x:c r="C109" s="141" t="str">
        <x:v>EHS and Regulatory Compliance</x:v>
      </x:c>
      <x:c r="D109" s="141" t="n">
        <x:v>1</x:v>
      </x:c>
      <x:c r="E109" s="141" t="n">
        <x:v>26</x:v>
      </x:c>
      <x:c r="F109" s="141" t="n">
        <x:v>1</x:v>
      </x:c>
      <x:c r="G109" s="175" t="n">
        <x:v>0.037599999999999995</x:v>
      </x:c>
      <x:c r="H109" s="141" t="n">
        <x:v>6</x:v>
      </x:c>
      <x:c r="I109" s="141" t="n">
        <x:v>0</x:v>
      </x:c>
      <x:c r="J109" s="141" t="n">
        <x:v>0</x:v>
      </x:c>
    </x:row>
    <x:row r="110">
      <x:c r="A110" s="171" t="n">
        <x:v>46266</x:v>
      </x:c>
      <x:c r="B110" s="141" t="str">
        <x:v>Q3</x:v>
      </x:c>
      <x:c r="C110" s="141" t="str">
        <x:v>Administration and Security</x:v>
      </x:c>
      <x:c r="D110" s="141" t="n">
        <x:v>1</x:v>
      </x:c>
      <x:c r="E110" s="141" t="n">
        <x:v>26</x:v>
      </x:c>
      <x:c r="F110" s="141" t="n">
        <x:v>1.1</x:v>
      </x:c>
      <x:c r="G110" s="175" t="n">
        <x:v>0.0406</x:v>
      </x:c>
      <x:c r="H110" s="141" t="n">
        <x:v>5.2</x:v>
      </x:c>
      <x:c r="I110" s="141" t="n">
        <x:v>0</x:v>
      </x:c>
      <x:c r="J110" s="141" t="n">
        <x:v>0</x:v>
      </x:c>
    </x:row>
    <x:row r="111">
      <x:c r="A111" s="171" t="n">
        <x:v>46296</x:v>
      </x:c>
      <x:c r="B111" s="141" t="str">
        <x:v>Q4</x:v>
      </x:c>
      <x:c r="C111" s="141" t="str">
        <x:v>Human Resources and People</x:v>
      </x:c>
      <x:c r="D111" s="141" t="n">
        <x:v>4</x:v>
      </x:c>
      <x:c r="E111" s="141" t="n">
        <x:v>104</x:v>
      </x:c>
      <x:c r="F111" s="141" t="n">
        <x:v>4.8</x:v>
      </x:c>
      <x:c r="G111" s="175" t="n">
        <x:v>0.0464</x:v>
      </x:c>
      <x:c r="H111" s="141" t="n">
        <x:v>4.6</x:v>
      </x:c>
      <x:c r="I111" s="141" t="n">
        <x:v>2</x:v>
      </x:c>
      <x:c r="J111" s="141" t="n">
        <x:v>0</x:v>
      </x:c>
    </x:row>
    <x:row r="112">
      <x:c r="A112" s="171" t="n">
        <x:v>46296</x:v>
      </x:c>
      <x:c r="B112" s="141" t="str">
        <x:v>Q4</x:v>
      </x:c>
      <x:c r="C112" s="141" t="str">
        <x:v>Smartwatch Production</x:v>
      </x:c>
      <x:c r="D112" s="141" t="n">
        <x:v>39</x:v>
      </x:c>
      <x:c r="E112" s="141" t="n">
        <x:v>1014</x:v>
      </x:c>
      <x:c r="F112" s="141" t="n">
        <x:v>40.6</x:v>
      </x:c>
      <x:c r="G112" s="175" t="n">
        <x:v>0.04</x:v>
      </x:c>
      <x:c r="H112" s="141" t="n">
        <x:v>8.2</x:v>
      </x:c>
      <x:c r="I112" s="141" t="n">
        <x:v>8</x:v>
      </x:c>
      <x:c r="J112" s="141" t="n">
        <x:v>1</x:v>
      </x:c>
    </x:row>
    <x:row r="113">
      <x:c r="A113" s="171" t="n">
        <x:v>46296</x:v>
      </x:c>
      <x:c r="B113" s="141" t="str">
        <x:v>Q4</x:v>
      </x:c>
      <x:c r="C113" s="141" t="str">
        <x:v>Quality Assurance</x:v>
      </x:c>
      <x:c r="D113" s="141" t="n">
        <x:v>15</x:v>
      </x:c>
      <x:c r="E113" s="141" t="n">
        <x:v>390</x:v>
      </x:c>
      <x:c r="F113" s="141" t="n">
        <x:v>17.2</x:v>
      </x:c>
      <x:c r="G113" s="175" t="n">
        <x:v>0.044199999999999996</x:v>
      </x:c>
      <x:c r="H113" s="141" t="n">
        <x:v>8.9</x:v>
      </x:c>
      <x:c r="I113" s="141" t="n">
        <x:v>6</x:v>
      </x:c>
      <x:c r="J113" s="141" t="n">
        <x:v>0</x:v>
      </x:c>
    </x:row>
    <x:row r="114">
      <x:c r="A114" s="171" t="n">
        <x:v>46296</x:v>
      </x:c>
      <x:c r="B114" s="141" t="str">
        <x:v>Q4</x:v>
      </x:c>
      <x:c r="C114" s="141" t="str">
        <x:v>Engineering and Maintenance</x:v>
      </x:c>
      <x:c r="D114" s="141" t="n">
        <x:v>13</x:v>
      </x:c>
      <x:c r="E114" s="141" t="n">
        <x:v>338</x:v>
      </x:c>
      <x:c r="F114" s="141" t="n">
        <x:v>13.7</x:v>
      </x:c>
      <x:c r="G114" s="175" t="n">
        <x:v>0.0406</x:v>
      </x:c>
      <x:c r="H114" s="141" t="n">
        <x:v>8.4</x:v>
      </x:c>
      <x:c r="I114" s="141" t="n">
        <x:v>0</x:v>
      </x:c>
      <x:c r="J114" s="141" t="n">
        <x:v>0</x:v>
      </x:c>
    </x:row>
    <x:row r="115">
      <x:c r="A115" s="171" t="n">
        <x:v>46296</x:v>
      </x:c>
      <x:c r="B115" s="141" t="str">
        <x:v>Q4</x:v>
      </x:c>
      <x:c r="C115" s="141" t="str">
        <x:v>Research and Development</x:v>
      </x:c>
      <x:c r="D115" s="141" t="n">
        <x:v>13</x:v>
      </x:c>
      <x:c r="E115" s="141" t="n">
        <x:v>338</x:v>
      </x:c>
      <x:c r="F115" s="141" t="n">
        <x:v>10.1</x:v>
      </x:c>
      <x:c r="G115" s="175" t="n">
        <x:v>0.0298</x:v>
      </x:c>
      <x:c r="H115" s="141" t="n">
        <x:v>2.1</x:v>
      </x:c>
      <x:c r="I115" s="141" t="n">
        <x:v>2</x:v>
      </x:c>
      <x:c r="J115" s="141" t="n">
        <x:v>0</x:v>
      </x:c>
    </x:row>
    <x:row r="116">
      <x:c r="A116" s="171" t="n">
        <x:v>46296</x:v>
      </x:c>
      <x:c r="B116" s="141" t="str">
        <x:v>Q4</x:v>
      </x:c>
      <x:c r="C116" s="141" t="str">
        <x:v>Supply Chain and Planning</x:v>
      </x:c>
      <x:c r="D116" s="141" t="n">
        <x:v>5</x:v>
      </x:c>
      <x:c r="E116" s="141" t="n">
        <x:v>130</x:v>
      </x:c>
      <x:c r="F116" s="141" t="n">
        <x:v>6.9</x:v>
      </x:c>
      <x:c r="G116" s="175" t="n">
        <x:v>0.053099999999999994</x:v>
      </x:c>
      <x:c r="H116" s="141" t="n">
        <x:v>14.8</x:v>
      </x:c>
      <x:c r="I116" s="141" t="n">
        <x:v>2</x:v>
      </x:c>
      <x:c r="J116" s="141" t="n">
        <x:v>0</x:v>
      </x:c>
    </x:row>
    <x:row r="117">
      <x:c r="A117" s="171" t="n">
        <x:v>46296</x:v>
      </x:c>
      <x:c r="B117" s="141" t="str">
        <x:v>Q4</x:v>
      </x:c>
      <x:c r="C117" s="141" t="str">
        <x:v>Procurement</x:v>
      </x:c>
      <x:c r="D117" s="141" t="n">
        <x:v>1</x:v>
      </x:c>
      <x:c r="E117" s="141" t="n">
        <x:v>26</x:v>
      </x:c>
      <x:c r="F117" s="141" t="n">
        <x:v>0.9</x:v>
      </x:c>
      <x:c r="G117" s="175" t="n">
        <x:v>0.0339</x:v>
      </x:c>
      <x:c r="H117" s="141" t="n">
        <x:v>3.7</x:v>
      </x:c>
      <x:c r="I117" s="141" t="n">
        <x:v>0</x:v>
      </x:c>
      <x:c r="J117" s="141" t="n">
        <x:v>0</x:v>
      </x:c>
    </x:row>
    <x:row r="118">
      <x:c r="A118" s="171" t="n">
        <x:v>46296</x:v>
      </x:c>
      <x:c r="B118" s="141" t="str">
        <x:v>Q4</x:v>
      </x:c>
      <x:c r="C118" s="141" t="str">
        <x:v>Finance and Accounts</x:v>
      </x:c>
      <x:c r="D118" s="141" t="n">
        <x:v>2</x:v>
      </x:c>
      <x:c r="E118" s="141" t="n">
        <x:v>52</x:v>
      </x:c>
      <x:c r="F118" s="141" t="n">
        <x:v>2</x:v>
      </x:c>
      <x:c r="G118" s="175" t="n">
        <x:v>0.0381</x:v>
      </x:c>
      <x:c r="H118" s="141" t="n">
        <x:v>7</x:v>
      </x:c>
      <x:c r="I118" s="141" t="n">
        <x:v>0</x:v>
      </x:c>
      <x:c r="J118" s="141" t="n">
        <x:v>0</x:v>
      </x:c>
    </x:row>
    <x:row r="119">
      <x:c r="A119" s="171" t="n">
        <x:v>46296</x:v>
      </x:c>
      <x:c r="B119" s="141" t="str">
        <x:v>Q4</x:v>
      </x:c>
      <x:c r="C119" s="141" t="str">
        <x:v>IT Data and HRIS</x:v>
      </x:c>
      <x:c r="D119" s="141" t="n">
        <x:v>8</x:v>
      </x:c>
      <x:c r="E119" s="141" t="n">
        <x:v>208</x:v>
      </x:c>
      <x:c r="F119" s="141" t="n">
        <x:v>9.3</x:v>
      </x:c>
      <x:c r="G119" s="175" t="n">
        <x:v>0.044800000000000006</x:v>
      </x:c>
      <x:c r="H119" s="141" t="n">
        <x:v>4.4</x:v>
      </x:c>
      <x:c r="I119" s="141" t="n">
        <x:v>4</x:v>
      </x:c>
      <x:c r="J119" s="141" t="n">
        <x:v>0</x:v>
      </x:c>
    </x:row>
    <x:row r="120">
      <x:c r="A120" s="171" t="n">
        <x:v>46296</x:v>
      </x:c>
      <x:c r="B120" s="141" t="str">
        <x:v>Q4</x:v>
      </x:c>
      <x:c r="C120" s="141" t="str">
        <x:v>Sales Distribution and Service</x:v>
      </x:c>
      <x:c r="D120" s="141" t="n">
        <x:v>5</x:v>
      </x:c>
      <x:c r="E120" s="141" t="n">
        <x:v>130</x:v>
      </x:c>
      <x:c r="F120" s="141" t="n">
        <x:v>4.7</x:v>
      </x:c>
      <x:c r="G120" s="175" t="n">
        <x:v>0.0361</x:v>
      </x:c>
      <x:c r="H120" s="141" t="n">
        <x:v>5.3</x:v>
      </x:c>
      <x:c r="I120" s="141" t="n">
        <x:v>3</x:v>
      </x:c>
      <x:c r="J120" s="141" t="n">
        <x:v>0</x:v>
      </x:c>
    </x:row>
    <x:row r="121">
      <x:c r="A121" s="171" t="n">
        <x:v>46296</x:v>
      </x:c>
      <x:c r="B121" s="141" t="str">
        <x:v>Q4</x:v>
      </x:c>
      <x:c r="C121" s="141" t="str">
        <x:v>EHS and Regulatory Compliance</x:v>
      </x:c>
      <x:c r="D121" s="141" t="n">
        <x:v>1</x:v>
      </x:c>
      <x:c r="E121" s="141" t="n">
        <x:v>26</x:v>
      </x:c>
      <x:c r="F121" s="141" t="n">
        <x:v>0.9</x:v>
      </x:c>
      <x:c r="G121" s="175" t="n">
        <x:v>0.0333</x:v>
      </x:c>
      <x:c r="H121" s="141" t="n">
        <x:v>4.3</x:v>
      </x:c>
      <x:c r="I121" s="141" t="n">
        <x:v>1</x:v>
      </x:c>
      <x:c r="J121" s="141" t="n">
        <x:v>0</x:v>
      </x:c>
    </x:row>
    <x:row r="122">
      <x:c r="A122" s="171" t="n">
        <x:v>46296</x:v>
      </x:c>
      <x:c r="B122" s="141" t="str">
        <x:v>Q4</x:v>
      </x:c>
      <x:c r="C122" s="141" t="str">
        <x:v>Administration and Security</x:v>
      </x:c>
      <x:c r="D122" s="141" t="n">
        <x:v>1</x:v>
      </x:c>
      <x:c r="E122" s="141" t="n">
        <x:v>26</x:v>
      </x:c>
      <x:c r="F122" s="141" t="n">
        <x:v>0.9</x:v>
      </x:c>
      <x:c r="G122" s="175" t="n">
        <x:v>0.0332</x:v>
      </x:c>
      <x:c r="H122" s="141" t="n">
        <x:v>3</x:v>
      </x:c>
      <x:c r="I122" s="141" t="n">
        <x:v>0</x:v>
      </x:c>
      <x:c r="J122" s="141" t="n">
        <x:v>0</x:v>
      </x:c>
    </x:row>
    <x:row r="123">
      <x:c r="A123" s="171" t="n">
        <x:v>46327</x:v>
      </x:c>
      <x:c r="B123" s="141" t="str">
        <x:v>Q4</x:v>
      </x:c>
      <x:c r="C123" s="141" t="str">
        <x:v>Human Resources and People</x:v>
      </x:c>
      <x:c r="D123" s="141" t="n">
        <x:v>5</x:v>
      </x:c>
      <x:c r="E123" s="141" t="n">
        <x:v>130</x:v>
      </x:c>
      <x:c r="F123" s="141" t="n">
        <x:v>5.3</x:v>
      </x:c>
      <x:c r="G123" s="175" t="n">
        <x:v>0.0405</x:v>
      </x:c>
      <x:c r="H123" s="141" t="n">
        <x:v>3.7</x:v>
      </x:c>
      <x:c r="I123" s="141" t="n">
        <x:v>0</x:v>
      </x:c>
      <x:c r="J123" s="141" t="n">
        <x:v>0</x:v>
      </x:c>
    </x:row>
    <x:row r="124">
      <x:c r="A124" s="171" t="n">
        <x:v>46327</x:v>
      </x:c>
      <x:c r="B124" s="141" t="str">
        <x:v>Q4</x:v>
      </x:c>
      <x:c r="C124" s="141" t="str">
        <x:v>Smartwatch Production</x:v>
      </x:c>
      <x:c r="D124" s="141" t="n">
        <x:v>40</x:v>
      </x:c>
      <x:c r="E124" s="141" t="n">
        <x:v>1040</x:v>
      </x:c>
      <x:c r="F124" s="141" t="n">
        <x:v>32.6</x:v>
      </x:c>
      <x:c r="G124" s="175" t="n">
        <x:v>0.0313</x:v>
      </x:c>
      <x:c r="H124" s="141" t="n">
        <x:v>11.8</x:v>
      </x:c>
      <x:c r="I124" s="141" t="n">
        <x:v>8</x:v>
      </x:c>
      <x:c r="J124" s="141" t="n">
        <x:v>0</x:v>
      </x:c>
    </x:row>
    <x:row r="125">
      <x:c r="A125" s="171" t="n">
        <x:v>46327</x:v>
      </x:c>
      <x:c r="B125" s="141" t="str">
        <x:v>Q4</x:v>
      </x:c>
      <x:c r="C125" s="141" t="str">
        <x:v>Quality Assurance</x:v>
      </x:c>
      <x:c r="D125" s="141" t="n">
        <x:v>16</x:v>
      </x:c>
      <x:c r="E125" s="141" t="n">
        <x:v>416</x:v>
      </x:c>
      <x:c r="F125" s="141" t="n">
        <x:v>18</x:v>
      </x:c>
      <x:c r="G125" s="175" t="n">
        <x:v>0.0433</x:v>
      </x:c>
      <x:c r="H125" s="141" t="n">
        <x:v>14.4</x:v>
      </x:c>
      <x:c r="I125" s="141" t="n">
        <x:v>5</x:v>
      </x:c>
      <x:c r="J125" s="141" t="n">
        <x:v>0</x:v>
      </x:c>
    </x:row>
    <x:row r="126">
      <x:c r="A126" s="171" t="n">
        <x:v>46327</x:v>
      </x:c>
      <x:c r="B126" s="141" t="str">
        <x:v>Q4</x:v>
      </x:c>
      <x:c r="C126" s="141" t="str">
        <x:v>Engineering and Maintenance</x:v>
      </x:c>
      <x:c r="D126" s="141" t="n">
        <x:v>14</x:v>
      </x:c>
      <x:c r="E126" s="141" t="n">
        <x:v>364</x:v>
      </x:c>
      <x:c r="F126" s="141" t="n">
        <x:v>16.6</x:v>
      </x:c>
      <x:c r="G126" s="175" t="n">
        <x:v>0.045599999999999995</x:v>
      </x:c>
      <x:c r="H126" s="141" t="n">
        <x:v>10.2</x:v>
      </x:c>
      <x:c r="I126" s="141" t="n">
        <x:v>3</x:v>
      </x:c>
      <x:c r="J126" s="141" t="n">
        <x:v>0</x:v>
      </x:c>
    </x:row>
    <x:row r="127">
      <x:c r="A127" s="171" t="n">
        <x:v>46327</x:v>
      </x:c>
      <x:c r="B127" s="141" t="str">
        <x:v>Q4</x:v>
      </x:c>
      <x:c r="C127" s="141" t="str">
        <x:v>Research and Development</x:v>
      </x:c>
      <x:c r="D127" s="141" t="n">
        <x:v>13</x:v>
      </x:c>
      <x:c r="E127" s="141" t="n">
        <x:v>338</x:v>
      </x:c>
      <x:c r="F127" s="141" t="n">
        <x:v>14.9</x:v>
      </x:c>
      <x:c r="G127" s="175" t="n">
        <x:v>0.044000000000000004</x:v>
      </x:c>
      <x:c r="H127" s="141" t="n">
        <x:v>2.8</x:v>
      </x:c>
      <x:c r="I127" s="141" t="n">
        <x:v>3</x:v>
      </x:c>
      <x:c r="J127" s="141" t="n">
        <x:v>0</x:v>
      </x:c>
    </x:row>
    <x:row r="128">
      <x:c r="A128" s="171" t="n">
        <x:v>46327</x:v>
      </x:c>
      <x:c r="B128" s="141" t="str">
        <x:v>Q4</x:v>
      </x:c>
      <x:c r="C128" s="141" t="str">
        <x:v>Supply Chain and Planning</x:v>
      </x:c>
      <x:c r="D128" s="141" t="n">
        <x:v>5</x:v>
      </x:c>
      <x:c r="E128" s="141" t="n">
        <x:v>130</x:v>
      </x:c>
      <x:c r="F128" s="141" t="n">
        <x:v>6.2</x:v>
      </x:c>
      <x:c r="G128" s="175" t="n">
        <x:v>0.048</x:v>
      </x:c>
      <x:c r="H128" s="141" t="n">
        <x:v>10.2</x:v>
      </x:c>
      <x:c r="I128" s="141" t="n">
        <x:v>0</x:v>
      </x:c>
      <x:c r="J128" s="141" t="n">
        <x:v>0</x:v>
      </x:c>
    </x:row>
    <x:row r="129">
      <x:c r="A129" s="171" t="n">
        <x:v>46327</x:v>
      </x:c>
      <x:c r="B129" s="141" t="str">
        <x:v>Q4</x:v>
      </x:c>
      <x:c r="C129" s="141" t="str">
        <x:v>Procurement</x:v>
      </x:c>
      <x:c r="D129" s="141" t="n">
        <x:v>1</x:v>
      </x:c>
      <x:c r="E129" s="141" t="n">
        <x:v>26</x:v>
      </x:c>
      <x:c r="F129" s="141" t="n">
        <x:v>0.9</x:v>
      </x:c>
      <x:c r="G129" s="175" t="n">
        <x:v>0.0365</x:v>
      </x:c>
      <x:c r="H129" s="141" t="n">
        <x:v>4.9</x:v>
      </x:c>
      <x:c r="I129" s="141" t="n">
        <x:v>0</x:v>
      </x:c>
      <x:c r="J129" s="141" t="n">
        <x:v>0</x:v>
      </x:c>
    </x:row>
    <x:row r="130">
      <x:c r="A130" s="171" t="n">
        <x:v>46327</x:v>
      </x:c>
      <x:c r="B130" s="141" t="str">
        <x:v>Q4</x:v>
      </x:c>
      <x:c r="C130" s="141" t="str">
        <x:v>Finance and Accounts</x:v>
      </x:c>
      <x:c r="D130" s="141" t="n">
        <x:v>2</x:v>
      </x:c>
      <x:c r="E130" s="141" t="n">
        <x:v>52</x:v>
      </x:c>
      <x:c r="F130" s="141" t="n">
        <x:v>1.6</x:v>
      </x:c>
      <x:c r="G130" s="175" t="n">
        <x:v>0.030899999999999997</x:v>
      </x:c>
      <x:c r="H130" s="141" t="n">
        <x:v>5.1</x:v>
      </x:c>
      <x:c r="I130" s="141" t="n">
        <x:v>0</x:v>
      </x:c>
      <x:c r="J130" s="141" t="n">
        <x:v>0</x:v>
      </x:c>
    </x:row>
    <x:row r="131">
      <x:c r="A131" s="171" t="n">
        <x:v>46327</x:v>
      </x:c>
      <x:c r="B131" s="141" t="str">
        <x:v>Q4</x:v>
      </x:c>
      <x:c r="C131" s="141" t="str">
        <x:v>IT Data and HRIS</x:v>
      </x:c>
      <x:c r="D131" s="141" t="n">
        <x:v>9</x:v>
      </x:c>
      <x:c r="E131" s="141" t="n">
        <x:v>234</x:v>
      </x:c>
      <x:c r="F131" s="141" t="n">
        <x:v>7.9</x:v>
      </x:c>
      <x:c r="G131" s="175" t="n">
        <x:v>0.0339</x:v>
      </x:c>
      <x:c r="H131" s="141" t="n">
        <x:v>3.9</x:v>
      </x:c>
      <x:c r="I131" s="141" t="n">
        <x:v>2</x:v>
      </x:c>
      <x:c r="J131" s="141" t="n">
        <x:v>0</x:v>
      </x:c>
    </x:row>
    <x:row r="132">
      <x:c r="A132" s="171" t="n">
        <x:v>46327</x:v>
      </x:c>
      <x:c r="B132" s="141" t="str">
        <x:v>Q4</x:v>
      </x:c>
      <x:c r="C132" s="141" t="str">
        <x:v>Sales Distribution and Service</x:v>
      </x:c>
      <x:c r="D132" s="141" t="n">
        <x:v>5</x:v>
      </x:c>
      <x:c r="E132" s="141" t="n">
        <x:v>130</x:v>
      </x:c>
      <x:c r="F132" s="141" t="n">
        <x:v>5.7</x:v>
      </x:c>
      <x:c r="G132" s="175" t="n">
        <x:v>0.0436</x:v>
      </x:c>
      <x:c r="H132" s="141" t="n">
        <x:v>3.6</x:v>
      </x:c>
      <x:c r="I132" s="141" t="n">
        <x:v>0</x:v>
      </x:c>
      <x:c r="J132" s="141" t="n">
        <x:v>0</x:v>
      </x:c>
    </x:row>
    <x:row r="133">
      <x:c r="A133" s="171" t="n">
        <x:v>46327</x:v>
      </x:c>
      <x:c r="B133" s="141" t="str">
        <x:v>Q4</x:v>
      </x:c>
      <x:c r="C133" s="141" t="str">
        <x:v>EHS and Regulatory Compliance</x:v>
      </x:c>
      <x:c r="D133" s="141" t="n">
        <x:v>1</x:v>
      </x:c>
      <x:c r="E133" s="141" t="n">
        <x:v>26</x:v>
      </x:c>
      <x:c r="F133" s="141" t="n">
        <x:v>0.7</x:v>
      </x:c>
      <x:c r="G133" s="175" t="n">
        <x:v>0.0286</x:v>
      </x:c>
      <x:c r="H133" s="141" t="n">
        <x:v>3.8</x:v>
      </x:c>
      <x:c r="I133" s="141" t="n">
        <x:v>0</x:v>
      </x:c>
      <x:c r="J133" s="141" t="n">
        <x:v>0</x:v>
      </x:c>
    </x:row>
    <x:row r="134">
      <x:c r="A134" s="171" t="n">
        <x:v>46327</x:v>
      </x:c>
      <x:c r="B134" s="141" t="str">
        <x:v>Q4</x:v>
      </x:c>
      <x:c r="C134" s="141" t="str">
        <x:v>Administration and Security</x:v>
      </x:c>
      <x:c r="D134" s="141" t="n">
        <x:v>1</x:v>
      </x:c>
      <x:c r="E134" s="141" t="n">
        <x:v>26</x:v>
      </x:c>
      <x:c r="F134" s="141" t="n">
        <x:v>0.7</x:v>
      </x:c>
      <x:c r="G134" s="175" t="n">
        <x:v>0.0275</x:v>
      </x:c>
      <x:c r="H134" s="141" t="n">
        <x:v>1.8</x:v>
      </x:c>
      <x:c r="I134" s="141" t="n">
        <x:v>2</x:v>
      </x:c>
      <x:c r="J134" s="141" t="n">
        <x:v>0</x:v>
      </x:c>
    </x:row>
    <x:row r="135">
      <x:c r="A135" s="171" t="n">
        <x:v>46357</x:v>
      </x:c>
      <x:c r="B135" s="141" t="str">
        <x:v>Q4</x:v>
      </x:c>
      <x:c r="C135" s="141" t="str">
        <x:v>Human Resources and People</x:v>
      </x:c>
      <x:c r="D135" s="141" t="n">
        <x:v>5</x:v>
      </x:c>
      <x:c r="E135" s="141" t="n">
        <x:v>130</x:v>
      </x:c>
      <x:c r="F135" s="141" t="n">
        <x:v>5.4</x:v>
      </x:c>
      <x:c r="G135" s="175" t="n">
        <x:v>0.04190000000000001</x:v>
      </x:c>
      <x:c r="H135" s="141" t="n">
        <x:v>2.2</x:v>
      </x:c>
      <x:c r="I135" s="141" t="n">
        <x:v>1</x:v>
      </x:c>
      <x:c r="J135" s="141" t="n">
        <x:v>0</x:v>
      </x:c>
    </x:row>
    <x:row r="136">
      <x:c r="A136" s="171" t="n">
        <x:v>46357</x:v>
      </x:c>
      <x:c r="B136" s="141" t="str">
        <x:v>Q4</x:v>
      </x:c>
      <x:c r="C136" s="141" t="str">
        <x:v>Smartwatch Production</x:v>
      </x:c>
      <x:c r="D136" s="141" t="n">
        <x:v>43</x:v>
      </x:c>
      <x:c r="E136" s="141" t="n">
        <x:v>1118</x:v>
      </x:c>
      <x:c r="F136" s="141" t="n">
        <x:v>60.7</x:v>
      </x:c>
      <x:c r="G136" s="175" t="n">
        <x:v>0.054299999999999994</x:v>
      </x:c>
      <x:c r="H136" s="141" t="n">
        <x:v>9.2</x:v>
      </x:c>
      <x:c r="I136" s="141" t="n">
        <x:v>7</x:v>
      </x:c>
      <x:c r="J136" s="141" t="n">
        <x:v>1</x:v>
      </x:c>
    </x:row>
    <x:row r="137">
      <x:c r="A137" s="171" t="n">
        <x:v>46357</x:v>
      </x:c>
      <x:c r="B137" s="141" t="str">
        <x:v>Q4</x:v>
      </x:c>
      <x:c r="C137" s="141" t="str">
        <x:v>Quality Assurance</x:v>
      </x:c>
      <x:c r="D137" s="141" t="n">
        <x:v>16</x:v>
      </x:c>
      <x:c r="E137" s="141" t="n">
        <x:v>416</x:v>
      </x:c>
      <x:c r="F137" s="141" t="n">
        <x:v>15.4</x:v>
      </x:c>
      <x:c r="G137" s="175" t="n">
        <x:v>0.0369</x:v>
      </x:c>
      <x:c r="H137" s="141" t="n">
        <x:v>11.4</x:v>
      </x:c>
      <x:c r="I137" s="141" t="n">
        <x:v>3</x:v>
      </x:c>
      <x:c r="J137" s="141" t="n">
        <x:v>0</x:v>
      </x:c>
    </x:row>
    <x:row r="138">
      <x:c r="A138" s="171" t="n">
        <x:v>46357</x:v>
      </x:c>
      <x:c r="B138" s="141" t="str">
        <x:v>Q4</x:v>
      </x:c>
      <x:c r="C138" s="141" t="str">
        <x:v>Engineering and Maintenance</x:v>
      </x:c>
      <x:c r="D138" s="141" t="n">
        <x:v>14</x:v>
      </x:c>
      <x:c r="E138" s="141" t="n">
        <x:v>364</x:v>
      </x:c>
      <x:c r="F138" s="141" t="n">
        <x:v>17.5</x:v>
      </x:c>
      <x:c r="G138" s="175" t="n">
        <x:v>0.0481</x:v>
      </x:c>
      <x:c r="H138" s="141" t="n">
        <x:v>17.7</x:v>
      </x:c>
      <x:c r="I138" s="141" t="n">
        <x:v>1</x:v>
      </x:c>
      <x:c r="J138" s="141" t="n">
        <x:v>0</x:v>
      </x:c>
    </x:row>
    <x:row r="139">
      <x:c r="A139" s="171" t="n">
        <x:v>46357</x:v>
      </x:c>
      <x:c r="B139" s="141" t="str">
        <x:v>Q4</x:v>
      </x:c>
      <x:c r="C139" s="141" t="str">
        <x:v>Research and Development</x:v>
      </x:c>
      <x:c r="D139" s="141" t="n">
        <x:v>13</x:v>
      </x:c>
      <x:c r="E139" s="141" t="n">
        <x:v>338</x:v>
      </x:c>
      <x:c r="F139" s="141" t="n">
        <x:v>12.9</x:v>
      </x:c>
      <x:c r="G139" s="175" t="n">
        <x:v>0.0382</x:v>
      </x:c>
      <x:c r="H139" s="141" t="n">
        <x:v>7.3</x:v>
      </x:c>
      <x:c r="I139" s="141" t="n">
        <x:v>5</x:v>
      </x:c>
      <x:c r="J139" s="141" t="n">
        <x:v>0</x:v>
      </x:c>
    </x:row>
    <x:row r="140">
      <x:c r="A140" s="171" t="n">
        <x:v>46357</x:v>
      </x:c>
      <x:c r="B140" s="141" t="str">
        <x:v>Q4</x:v>
      </x:c>
      <x:c r="C140" s="141" t="str">
        <x:v>Supply Chain and Planning</x:v>
      </x:c>
      <x:c r="D140" s="141" t="n">
        <x:v>5</x:v>
      </x:c>
      <x:c r="E140" s="141" t="n">
        <x:v>130</x:v>
      </x:c>
      <x:c r="F140" s="141" t="n">
        <x:v>5.9</x:v>
      </x:c>
      <x:c r="G140" s="175" t="n">
        <x:v>0.045599999999999995</x:v>
      </x:c>
      <x:c r="H140" s="141" t="n">
        <x:v>11.8</x:v>
      </x:c>
      <x:c r="I140" s="141" t="n">
        <x:v>0</x:v>
      </x:c>
      <x:c r="J140" s="141" t="n">
        <x:v>0</x:v>
      </x:c>
    </x:row>
    <x:row r="141">
      <x:c r="A141" s="171" t="n">
        <x:v>46357</x:v>
      </x:c>
      <x:c r="B141" s="141" t="str">
        <x:v>Q4</x:v>
      </x:c>
      <x:c r="C141" s="141" t="str">
        <x:v>Procurement</x:v>
      </x:c>
      <x:c r="D141" s="141" t="n">
        <x:v>1</x:v>
      </x:c>
      <x:c r="E141" s="141" t="n">
        <x:v>26</x:v>
      </x:c>
      <x:c r="F141" s="141" t="n">
        <x:v>0.9</x:v>
      </x:c>
      <x:c r="G141" s="175" t="n">
        <x:v>0.0351</x:v>
      </x:c>
      <x:c r="H141" s="141" t="n">
        <x:v>3.5</x:v>
      </x:c>
      <x:c r="I141" s="141" t="n">
        <x:v>0</x:v>
      </x:c>
      <x:c r="J141" s="141" t="n">
        <x:v>0</x:v>
      </x:c>
    </x:row>
    <x:row r="142">
      <x:c r="A142" s="171" t="n">
        <x:v>46357</x:v>
      </x:c>
      <x:c r="B142" s="141" t="str">
        <x:v>Q4</x:v>
      </x:c>
      <x:c r="C142" s="141" t="str">
        <x:v>Finance and Accounts</x:v>
      </x:c>
      <x:c r="D142" s="141" t="n">
        <x:v>2</x:v>
      </x:c>
      <x:c r="E142" s="141" t="n">
        <x:v>52</x:v>
      </x:c>
      <x:c r="F142" s="141" t="n">
        <x:v>1.8</x:v>
      </x:c>
      <x:c r="G142" s="175" t="n">
        <x:v>0.0339</x:v>
      </x:c>
      <x:c r="H142" s="141" t="n">
        <x:v>8.1</x:v>
      </x:c>
      <x:c r="I142" s="141" t="n">
        <x:v>0</x:v>
      </x:c>
      <x:c r="J142" s="141" t="n">
        <x:v>0</x:v>
      </x:c>
    </x:row>
    <x:row r="143">
      <x:c r="A143" s="171" t="n">
        <x:v>46357</x:v>
      </x:c>
      <x:c r="B143" s="141" t="str">
        <x:v>Q4</x:v>
      </x:c>
      <x:c r="C143" s="141" t="str">
        <x:v>IT Data and HRIS</x:v>
      </x:c>
      <x:c r="D143" s="141" t="n">
        <x:v>8</x:v>
      </x:c>
      <x:c r="E143" s="141" t="n">
        <x:v>208</x:v>
      </x:c>
      <x:c r="F143" s="141" t="n">
        <x:v>6.5</x:v>
      </x:c>
      <x:c r="G143" s="175" t="n">
        <x:v>0.0311</x:v>
      </x:c>
      <x:c r="H143" s="141" t="n">
        <x:v>0</x:v>
      </x:c>
      <x:c r="I143" s="141" t="n">
        <x:v>2</x:v>
      </x:c>
      <x:c r="J143" s="141" t="n">
        <x:v>0</x:v>
      </x:c>
    </x:row>
    <x:row r="144">
      <x:c r="A144" s="171" t="n">
        <x:v>46357</x:v>
      </x:c>
      <x:c r="B144" s="141" t="str">
        <x:v>Q4</x:v>
      </x:c>
      <x:c r="C144" s="141" t="str">
        <x:v>Sales Distribution and Service</x:v>
      </x:c>
      <x:c r="D144" s="141" t="n">
        <x:v>5</x:v>
      </x:c>
      <x:c r="E144" s="141" t="n">
        <x:v>130</x:v>
      </x:c>
      <x:c r="F144" s="141" t="n">
        <x:v>3.9</x:v>
      </x:c>
      <x:c r="G144" s="175" t="n">
        <x:v>0.029900000000000003</x:v>
      </x:c>
      <x:c r="H144" s="141" t="n">
        <x:v>0</x:v>
      </x:c>
      <x:c r="I144" s="141" t="n">
        <x:v>2</x:v>
      </x:c>
      <x:c r="J144" s="141" t="n">
        <x:v>0</x:v>
      </x:c>
    </x:row>
    <x:row r="145">
      <x:c r="A145" s="171" t="n">
        <x:v>46357</x:v>
      </x:c>
      <x:c r="B145" s="141" t="str">
        <x:v>Q4</x:v>
      </x:c>
      <x:c r="C145" s="141" t="str">
        <x:v>EHS and Regulatory Compliance</x:v>
      </x:c>
      <x:c r="D145" s="141" t="n">
        <x:v>1</x:v>
      </x:c>
      <x:c r="E145" s="141" t="n">
        <x:v>26</x:v>
      </x:c>
      <x:c r="F145" s="141" t="n">
        <x:v>0.9</x:v>
      </x:c>
      <x:c r="G145" s="175" t="n">
        <x:v>0.0358</x:v>
      </x:c>
      <x:c r="H145" s="141" t="n">
        <x:v>2.8</x:v>
      </x:c>
      <x:c r="I145" s="141" t="n">
        <x:v>0</x:v>
      </x:c>
      <x:c r="J145" s="141" t="n">
        <x:v>0</x:v>
      </x:c>
    </x:row>
    <x:row r="146">
      <x:c r="A146" s="171" t="n">
        <x:v>46357</x:v>
      </x:c>
      <x:c r="B146" s="141" t="str">
        <x:v>Q4</x:v>
      </x:c>
      <x:c r="C146" s="141" t="str">
        <x:v>Administration and Security</x:v>
      </x:c>
      <x:c r="D146" s="141" t="n">
        <x:v>1</x:v>
      </x:c>
      <x:c r="E146" s="141" t="n">
        <x:v>26</x:v>
      </x:c>
      <x:c r="F146" s="141" t="n">
        <x:v>0.7</x:v>
      </x:c>
      <x:c r="G146" s="175" t="n">
        <x:v>0.0279</x:v>
      </x:c>
      <x:c r="H146" s="141" t="n">
        <x:v>1.9</x:v>
      </x:c>
      <x:c r="I146" s="141" t="n">
        <x:v>0</x:v>
      </x:c>
      <x:c r="J146" s="141" t="n">
        <x:v>0</x:v>
      </x:c>
    </x:row>
  </x:sheetData>
  <x:mergeCells>
    <x:mergeCell ref="A1:J2"/>
    <x:mergeCell ref="A3:J3"/>
  </x:mergeCells>
  <x:conditionalFormatting sqref="G6:G146">
    <x:cfRule type="colorScale" priority="1">
      <x:colorScale>
        <x:cfvo type="min"/>
        <x:cfvo type="percentile" val="50"/>
        <x:cfvo type="max"/>
        <x:color rgb="FFFEE2E2"/>
        <x:color rgb="FFFEF3C7"/>
        <x:color rgb="FFDCFCE7"/>
      </x:colorScale>
    </x:cfRule>
  </x:conditionalFormatting>
  <x:conditionalFormatting sqref="H6:H146">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17ec54aab41f4ad2"/>
  </x:tableParts>
</x:worksheet>
</file>

<file path=xl/worksheets/sheet13.xml><?xml version="1.0" encoding="utf-8"?>
<x:worksheet xmlns:x="http://schemas.openxmlformats.org/spreadsheetml/2006/main">
  <x:sheetFormatPr defaultRowHeight="15"/>
  <x:cols>
    <x:col min="1" max="1" width="13" hidden="0" customWidth="1"/>
    <x:col min="2" max="2" width="1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24" hidden="0" customWidth="1"/>
    <x:col min="15" max="15" width="16" hidden="0" customWidth="1"/>
  </x:cols>
  <x:sheetData>
    <x:row r="1">
      <x:c r="A1" s="88" t="str">
        <x:v>Smartwatch Production and Quality</x:v>
      </x:c>
      <x:c r="B1" s="88"/>
      <x:c r="C1" s="88"/>
      <x:c r="D1" s="88"/>
      <x:c r="E1" s="88"/>
      <x:c r="F1" s="88"/>
      <x:c r="G1" s="88"/>
      <x:c r="H1" s="88"/>
      <x:c r="I1" s="88"/>
      <x:c r="J1" s="88"/>
      <x:c r="K1" s="88"/>
      <x:c r="L1" s="88"/>
      <x:c r="M1" s="88"/>
      <x:c r="N1" s="88"/>
    </x:row>
    <x:row r="2">
      <x:c r="A2" s="88"/>
      <x:c r="B2" s="88"/>
      <x:c r="C2" s="88"/>
      <x:c r="D2" s="88"/>
      <x:c r="E2" s="88"/>
      <x:c r="F2" s="88"/>
      <x:c r="G2" s="88"/>
      <x:c r="H2" s="88"/>
      <x:c r="I2" s="88"/>
      <x:c r="J2" s="88"/>
      <x:c r="K2" s="88"/>
      <x:c r="L2" s="88"/>
      <x:c r="M2" s="88"/>
      <x:c r="N2" s="88"/>
    </x:row>
    <x:row r="3">
      <x:c r="A3" s="13" t="str">
        <x:v>Line-level metrics connect headcount, skill and management interventions with yield, defect, rework, output and downtime.</x:v>
      </x:c>
      <x:c r="B3" s="13"/>
      <x:c r="C3" s="13"/>
      <x:c r="D3" s="13"/>
      <x:c r="E3" s="13"/>
      <x:c r="F3" s="13"/>
      <x:c r="G3" s="13"/>
      <x:c r="H3" s="13"/>
      <x:c r="I3" s="13"/>
      <x:c r="J3" s="13"/>
      <x:c r="K3" s="13"/>
      <x:c r="L3" s="13"/>
      <x:c r="M3" s="13"/>
      <x:c r="N3" s="13"/>
    </x:row>
    <x:row r="5" ht="30" customHeight="1">
      <x:c r="A5" s="135" t="str">
        <x:v>Month</x:v>
      </x:c>
      <x:c r="B5" s="135" t="str">
        <x:v>Quarter</x:v>
      </x:c>
      <x:c r="C5" s="135" t="str">
        <x:v>Production_Line</x:v>
      </x:c>
      <x:c r="D5" s="135" t="str">
        <x:v>Planned_Units</x:v>
      </x:c>
      <x:c r="E5" s="135" t="str">
        <x:v>Actual_Units</x:v>
      </x:c>
      <x:c r="F5" s="135" t="str">
        <x:v>First_Pass_Yield</x:v>
      </x:c>
      <x:c r="G5" s="135" t="str">
        <x:v>Defect_Rate</x:v>
      </x:c>
      <x:c r="H5" s="135" t="str">
        <x:v>Rework_Rate</x:v>
      </x:c>
      <x:c r="I5" s="135" t="str">
        <x:v>Scrap_Units</x:v>
      </x:c>
      <x:c r="J5" s="135" t="str">
        <x:v>Customer_Return_Rate</x:v>
      </x:c>
      <x:c r="K5" s="135" t="str">
        <x:v>Units_per_Labour_Hour</x:v>
      </x:c>
      <x:c r="L5" s="135" t="str">
        <x:v>Production_Headcount</x:v>
      </x:c>
      <x:c r="M5" s="135" t="str">
        <x:v>Downtime_Hours</x:v>
      </x:c>
      <x:c r="N5" s="135" t="str">
        <x:v>Primary_Constraint</x:v>
      </x:c>
      <x:c r="O5" s="115" t="str">
        <x:v>Production_Gap_Units</x:v>
      </x:c>
    </x:row>
    <x:row r="6">
      <x:c r="A6" s="171" t="n">
        <x:v>46023</x:v>
      </x:c>
      <x:c r="B6" s="141" t="str">
        <x:v>Q1</x:v>
      </x:c>
      <x:c r="C6" s="141" t="str">
        <x:v>Line A</x:v>
      </x:c>
      <x:c r="D6" s="141" t="n">
        <x:v>3456</x:v>
      </x:c>
      <x:c r="E6" s="141" t="n">
        <x:v>3200</x:v>
      </x:c>
      <x:c r="F6" s="175" t="n">
        <x:v>0.6359</x:v>
      </x:c>
      <x:c r="G6" s="175" t="n">
        <x:v>0.1854</x:v>
      </x:c>
      <x:c r="H6" s="175" t="n">
        <x:v>0.2322</x:v>
      </x:c>
      <x:c r="I6" s="141" t="n">
        <x:v>207</x:v>
      </x:c>
      <x:c r="J6" s="175" t="n">
        <x:v>0.0668</x:v>
      </x:c>
      <x:c r="K6" s="141" t="n">
        <x:v>1.01</x:v>
      </x:c>
      <x:c r="L6" s="141" t="n">
        <x:v>19</x:v>
      </x:c>
      <x:c r="M6" s="141" t="n">
        <x:v>48.4</x:v>
      </x:c>
      <x:c r="N6" s="141" t="str">
        <x:v>Skill shortage</x:v>
      </x:c>
      <x:c r="O6" t="n">
        <x:f>E6-D6</x:f>
        <x:v>-256</x:v>
      </x:c>
    </x:row>
    <x:row r="7">
      <x:c r="A7" s="171" t="n">
        <x:v>46054</x:v>
      </x:c>
      <x:c r="B7" s="141" t="str">
        <x:v>Q1</x:v>
      </x:c>
      <x:c r="C7" s="141" t="str">
        <x:v>Line A</x:v>
      </x:c>
      <x:c r="D7" s="141" t="n">
        <x:v>2916</x:v>
      </x:c>
      <x:c r="E7" s="141" t="n">
        <x:v>2700</x:v>
      </x:c>
      <x:c r="F7" s="175" t="n">
        <x:v>0.5963</x:v>
      </x:c>
      <x:c r="G7" s="175" t="n">
        <x:v>0.1928</x:v>
      </x:c>
      <x:c r="H7" s="175" t="n">
        <x:v>0.2473</x:v>
      </x:c>
      <x:c r="I7" s="141" t="n">
        <x:v>182</x:v>
      </x:c>
      <x:c r="J7" s="175" t="n">
        <x:v>0.0694</x:v>
      </x:c>
      <x:c r="K7" s="141" t="n">
        <x:v>1.03</x:v>
      </x:c>
      <x:c r="L7" s="141" t="n">
        <x:v>17</x:v>
      </x:c>
      <x:c r="M7" s="141" t="n">
        <x:v>50.7</x:v>
      </x:c>
      <x:c r="N7" s="141" t="str">
        <x:v>Skill shortage</x:v>
      </x:c>
      <x:c r="O7" t="n">
        <x:f>E7-D7</x:f>
        <x:v>-216</x:v>
      </x:c>
    </x:row>
    <x:row r="8">
      <x:c r="A8" s="171" t="n">
        <x:v>46082</x:v>
      </x:c>
      <x:c r="B8" s="141" t="str">
        <x:v>Q1</x:v>
      </x:c>
      <x:c r="C8" s="141" t="str">
        <x:v>Line A</x:v>
      </x:c>
      <x:c r="D8" s="141" t="n">
        <x:v>2700</x:v>
      </x:c>
      <x:c r="E8" s="141" t="n">
        <x:v>2500</x:v>
      </x:c>
      <x:c r="F8" s="175" t="n">
        <x:v>0.6477</x:v>
      </x:c>
      <x:c r="G8" s="175" t="n">
        <x:v>0.1696</x:v>
      </x:c>
      <x:c r="H8" s="175" t="n">
        <x:v>0.2193</x:v>
      </x:c>
      <x:c r="I8" s="141" t="n">
        <x:v>148</x:v>
      </x:c>
      <x:c r="J8" s="175" t="n">
        <x:v>0.0611</x:v>
      </x:c>
      <x:c r="K8" s="141" t="n">
        <x:v>1.1</x:v>
      </x:c>
      <x:c r="L8" s="141" t="n">
        <x:v>14</x:v>
      </x:c>
      <x:c r="M8" s="141" t="n">
        <x:v>46.9</x:v>
      </x:c>
      <x:c r="N8" s="141" t="str">
        <x:v>Skill shortage</x:v>
      </x:c>
      <x:c r="O8" t="n">
        <x:f>E8-D8</x:f>
        <x:v>-200</x:v>
      </x:c>
    </x:row>
    <x:row r="9">
      <x:c r="A9" s="171" t="n">
        <x:v>46113</x:v>
      </x:c>
      <x:c r="B9" s="141" t="str">
        <x:v>Q2</x:v>
      </x:c>
      <x:c r="C9" s="141" t="str">
        <x:v>Line A</x:v>
      </x:c>
      <x:c r="D9" s="141" t="n">
        <x:v>3024</x:v>
      </x:c>
      <x:c r="E9" s="141" t="n">
        <x:v>2800</x:v>
      </x:c>
      <x:c r="F9" s="175" t="n">
        <x:v>0.6903</x:v>
      </x:c>
      <x:c r="G9" s="175" t="n">
        <x:v>0.1521</x:v>
      </x:c>
      <x:c r="H9" s="175" t="n">
        <x:v>0.1892</x:v>
      </x:c>
      <x:c r="I9" s="141" t="n">
        <x:v>149</x:v>
      </x:c>
      <x:c r="J9" s="175" t="n">
        <x:v>0.0548</x:v>
      </x:c>
      <x:c r="K9" s="141" t="n">
        <x:v>1.31</x:v>
      </x:c>
      <x:c r="L9" s="141" t="n">
        <x:v>14</x:v>
      </x:c>
      <x:c r="M9" s="141" t="n">
        <x:v>41.6</x:v>
      </x:c>
      <x:c r="N9" s="141" t="str">
        <x:v>Skill shortage</x:v>
      </x:c>
      <x:c r="O9" t="n">
        <x:f>E9-D9</x:f>
        <x:v>-224</x:v>
      </x:c>
    </x:row>
    <x:row r="10">
      <x:c r="A10" s="171" t="n">
        <x:v>46143</x:v>
      </x:c>
      <x:c r="B10" s="141" t="str">
        <x:v>Q2</x:v>
      </x:c>
      <x:c r="C10" s="141" t="str">
        <x:v>Line A</x:v>
      </x:c>
      <x:c r="D10" s="141" t="n">
        <x:v>3564</x:v>
      </x:c>
      <x:c r="E10" s="141" t="n">
        <x:v>3300</x:v>
      </x:c>
      <x:c r="F10" s="175" t="n">
        <x:v>0.7602</x:v>
      </x:c>
      <x:c r="G10" s="175" t="n">
        <x:v>0.124</x:v>
      </x:c>
      <x:c r="H10" s="175" t="n">
        <x:v>0.1683</x:v>
      </x:c>
      <x:c r="I10" s="141" t="n">
        <x:v>143</x:v>
      </x:c>
      <x:c r="J10" s="175" t="n">
        <x:v>0.0446</x:v>
      </x:c>
      <x:c r="K10" s="141" t="n">
        <x:v>1.43</x:v>
      </x:c>
      <x:c r="L10" s="141" t="n">
        <x:v>14</x:v>
      </x:c>
      <x:c r="M10" s="141" t="n">
        <x:v>48.5</x:v>
      </x:c>
      <x:c r="N10" s="141" t="str">
        <x:v>Process stability</x:v>
      </x:c>
      <x:c r="O10" t="n">
        <x:f>E10-D10</x:f>
        <x:v>-264</x:v>
      </x:c>
    </x:row>
    <x:row r="11">
      <x:c r="A11" s="171" t="n">
        <x:v>46174</x:v>
      </x:c>
      <x:c r="B11" s="141" t="str">
        <x:v>Q2</x:v>
      </x:c>
      <x:c r="C11" s="141" t="str">
        <x:v>Line A</x:v>
      </x:c>
      <x:c r="D11" s="141" t="n">
        <x:v>4212</x:v>
      </x:c>
      <x:c r="E11" s="141" t="n">
        <x:v>3900</x:v>
      </x:c>
      <x:c r="F11" s="175" t="n">
        <x:v>0.7946</x:v>
      </x:c>
      <x:c r="G11" s="175" t="n">
        <x:v>0.0954</x:v>
      </x:c>
      <x:c r="H11" s="175" t="n">
        <x:v>0.1412</x:v>
      </x:c>
      <x:c r="I11" s="141" t="n">
        <x:v>130</x:v>
      </x:c>
      <x:c r="J11" s="175" t="n">
        <x:v>0.0344</x:v>
      </x:c>
      <x:c r="K11" s="141" t="n">
        <x:v>1.59</x:v>
      </x:c>
      <x:c r="L11" s="141" t="n">
        <x:v>15</x:v>
      </x:c>
      <x:c r="M11" s="141" t="n">
        <x:v>34.7</x:v>
      </x:c>
      <x:c r="N11" s="141" t="str">
        <x:v>Process stability</x:v>
      </x:c>
      <x:c r="O11" t="n">
        <x:f>E11-D11</x:f>
        <x:v>-312</x:v>
      </x:c>
    </x:row>
    <x:row r="12">
      <x:c r="A12" s="171" t="n">
        <x:v>46204</x:v>
      </x:c>
      <x:c r="B12" s="141" t="str">
        <x:v>Q3</x:v>
      </x:c>
      <x:c r="C12" s="141" t="str">
        <x:v>Line A</x:v>
      </x:c>
      <x:c r="D12" s="141" t="n">
        <x:v>3088</x:v>
      </x:c>
      <x:c r="E12" s="141" t="n">
        <x:v>2860</x:v>
      </x:c>
      <x:c r="F12" s="175" t="n">
        <x:v>0.8509</x:v>
      </x:c>
      <x:c r="G12" s="175" t="n">
        <x:v>0.084</x:v>
      </x:c>
      <x:c r="H12" s="175" t="n">
        <x:v>0.1232</x:v>
      </x:c>
      <x:c r="I12" s="141" t="n">
        <x:v>84</x:v>
      </x:c>
      <x:c r="J12" s="175" t="n">
        <x:v>0.0302</x:v>
      </x:c>
      <x:c r="K12" s="141" t="n">
        <x:v>1.78</x:v>
      </x:c>
      <x:c r="L12" s="141" t="n">
        <x:v>10</x:v>
      </x:c>
      <x:c r="M12" s="141" t="n">
        <x:v>32.8</x:v>
      </x:c>
      <x:c r="N12" s="141" t="str">
        <x:v>Process stability</x:v>
      </x:c>
      <x:c r="O12" t="n">
        <x:f>E12-D12</x:f>
        <x:v>-228</x:v>
      </x:c>
    </x:row>
    <x:row r="13">
      <x:c r="A13" s="171" t="n">
        <x:v>46204</x:v>
      </x:c>
      <x:c r="B13" s="141" t="str">
        <x:v>Q3</x:v>
      </x:c>
      <x:c r="C13" s="141" t="str">
        <x:v>Line B</x:v>
      </x:c>
      <x:c r="D13" s="141" t="n">
        <x:v>2527</x:v>
      </x:c>
      <x:c r="E13" s="141" t="n">
        <x:v>2340</x:v>
      </x:c>
      <x:c r="F13" s="175" t="n">
        <x:v>0.8443</x:v>
      </x:c>
      <x:c r="G13" s="175" t="n">
        <x:v>0.0836</x:v>
      </x:c>
      <x:c r="H13" s="175" t="n">
        <x:v>0.1154</x:v>
      </x:c>
      <x:c r="I13" s="141" t="n">
        <x:v>68</x:v>
      </x:c>
      <x:c r="J13" s="175" t="n">
        <x:v>0.0301</x:v>
      </x:c>
      <x:c r="K13" s="141" t="n">
        <x:v>1.77</x:v>
      </x:c>
      <x:c r="L13" s="141" t="n">
        <x:v>10</x:v>
      </x:c>
      <x:c r="M13" s="141" t="n">
        <x:v>36.8</x:v>
      </x:c>
      <x:c r="N13" s="141" t="str">
        <x:v>Process stability</x:v>
      </x:c>
      <x:c r="O13" t="n">
        <x:f>E13-D13</x:f>
        <x:v>-187</x:v>
      </x:c>
    </x:row>
    <x:row r="14">
      <x:c r="A14" s="171" t="n">
        <x:v>46235</x:v>
      </x:c>
      <x:c r="B14" s="141" t="str">
        <x:v>Q3</x:v>
      </x:c>
      <x:c r="C14" s="141" t="str">
        <x:v>Line A</x:v>
      </x:c>
      <x:c r="D14" s="141" t="n">
        <x:v>3682</x:v>
      </x:c>
      <x:c r="E14" s="141" t="n">
        <x:v>3410</x:v>
      </x:c>
      <x:c r="F14" s="175" t="n">
        <x:v>0.884</x:v>
      </x:c>
      <x:c r="G14" s="175" t="n">
        <x:v>0.0698</x:v>
      </x:c>
      <x:c r="H14" s="175" t="n">
        <x:v>0.0855</x:v>
      </x:c>
      <x:c r="I14" s="141" t="n">
        <x:v>83</x:v>
      </x:c>
      <x:c r="J14" s="175" t="n">
        <x:v>0.0251</x:v>
      </x:c>
      <x:c r="K14" s="141" t="n">
        <x:v>2.02</x:v>
      </x:c>
      <x:c r="L14" s="141" t="n">
        <x:v>10</x:v>
      </x:c>
      <x:c r="M14" s="141" t="n">
        <x:v>35.5</x:v>
      </x:c>
      <x:c r="N14" s="141" t="str">
        <x:v>Supplier quality</x:v>
      </x:c>
      <x:c r="O14" t="n">
        <x:f>E14-D14</x:f>
        <x:v>-272</x:v>
      </x:c>
    </x:row>
    <x:row r="15">
      <x:c r="A15" s="171" t="n">
        <x:v>46235</x:v>
      </x:c>
      <x:c r="B15" s="141" t="str">
        <x:v>Q3</x:v>
      </x:c>
      <x:c r="C15" s="141" t="str">
        <x:v>Line B</x:v>
      </x:c>
      <x:c r="D15" s="141" t="n">
        <x:v>3013</x:v>
      </x:c>
      <x:c r="E15" s="141" t="n">
        <x:v>2790</x:v>
      </x:c>
      <x:c r="F15" s="175" t="n">
        <x:v>0.8863</x:v>
      </x:c>
      <x:c r="G15" s="175" t="n">
        <x:v>0.0765</x:v>
      </x:c>
      <x:c r="H15" s="175" t="n">
        <x:v>0.094</x:v>
      </x:c>
      <x:c r="I15" s="141" t="n">
        <x:v>74</x:v>
      </x:c>
      <x:c r="J15" s="175" t="n">
        <x:v>0.0276</x:v>
      </x:c>
      <x:c r="K15" s="141" t="n">
        <x:v>2</x:v>
      </x:c>
      <x:c r="L15" s="141" t="n">
        <x:v>10</x:v>
      </x:c>
      <x:c r="M15" s="141" t="n">
        <x:v>27</x:v>
      </x:c>
      <x:c r="N15" s="141" t="str">
        <x:v>Supplier quality</x:v>
      </x:c>
      <x:c r="O15" t="n">
        <x:f>E15-D15</x:f>
        <x:v>-223</x:v>
      </x:c>
    </x:row>
    <x:row r="16">
      <x:c r="A16" s="171" t="n">
        <x:v>46266</x:v>
      </x:c>
      <x:c r="B16" s="141" t="str">
        <x:v>Q3</x:v>
      </x:c>
      <x:c r="C16" s="141" t="str">
        <x:v>Line A</x:v>
      </x:c>
      <x:c r="D16" s="141" t="n">
        <x:v>4276</x:v>
      </x:c>
      <x:c r="E16" s="141" t="n">
        <x:v>3960</x:v>
      </x:c>
      <x:c r="F16" s="175" t="n">
        <x:v>0.9292</x:v>
      </x:c>
      <x:c r="G16" s="175" t="n">
        <x:v>0.0537</x:v>
      </x:c>
      <x:c r="H16" s="175" t="n">
        <x:v>0.0769</x:v>
      </x:c>
      <x:c r="I16" s="141" t="n">
        <x:v>74</x:v>
      </x:c>
      <x:c r="J16" s="175" t="n">
        <x:v>0.0193</x:v>
      </x:c>
      <x:c r="K16" s="141" t="n">
        <x:v>2.2</x:v>
      </x:c>
      <x:c r="L16" s="141" t="n">
        <x:v>11</x:v>
      </x:c>
      <x:c r="M16" s="141" t="n">
        <x:v>23.9</x:v>
      </x:c>
      <x:c r="N16" s="141" t="str">
        <x:v>Supplier quality</x:v>
      </x:c>
      <x:c r="O16" t="n">
        <x:f>E16-D16</x:f>
        <x:v>-316</x:v>
      </x:c>
    </x:row>
    <x:row r="17">
      <x:c r="A17" s="171" t="n">
        <x:v>46266</x:v>
      </x:c>
      <x:c r="B17" s="141" t="str">
        <x:v>Q3</x:v>
      </x:c>
      <x:c r="C17" s="141" t="str">
        <x:v>Line B</x:v>
      </x:c>
      <x:c r="D17" s="141" t="n">
        <x:v>3499</x:v>
      </x:c>
      <x:c r="E17" s="141" t="n">
        <x:v>3240</x:v>
      </x:c>
      <x:c r="F17" s="175" t="n">
        <x:v>0.9182</x:v>
      </x:c>
      <x:c r="G17" s="175" t="n">
        <x:v>0.0453</x:v>
      </x:c>
      <x:c r="H17" s="175" t="n">
        <x:v>0.0784</x:v>
      </x:c>
      <x:c r="I17" s="141" t="n">
        <x:v>51</x:v>
      </x:c>
      <x:c r="J17" s="175" t="n">
        <x:v>0.0163</x:v>
      </x:c>
      <x:c r="K17" s="141" t="n">
        <x:v>2.16</x:v>
      </x:c>
      <x:c r="L17" s="141" t="n">
        <x:v>10</x:v>
      </x:c>
      <x:c r="M17" s="141" t="n">
        <x:v>25.6</x:v>
      </x:c>
      <x:c r="N17" s="141" t="str">
        <x:v>Supplier quality</x:v>
      </x:c>
      <x:c r="O17" t="n">
        <x:f>E17-D17</x:f>
        <x:v>-259</x:v>
      </x:c>
    </x:row>
    <x:row r="18">
      <x:c r="A18" s="171" t="n">
        <x:v>46296</x:v>
      </x:c>
      <x:c r="B18" s="141" t="str">
        <x:v>Q4</x:v>
      </x:c>
      <x:c r="C18" s="141" t="str">
        <x:v>Line A</x:v>
      </x:c>
      <x:c r="D18" s="141" t="n">
        <x:v>4870</x:v>
      </x:c>
      <x:c r="E18" s="141" t="n">
        <x:v>4510</x:v>
      </x:c>
      <x:c r="F18" s="175" t="n">
        <x:v>0.9479</x:v>
      </x:c>
      <x:c r="G18" s="175" t="n">
        <x:v>0.0399</x:v>
      </x:c>
      <x:c r="H18" s="175" t="n">
        <x:v>0.0499</x:v>
      </x:c>
      <x:c r="I18" s="141" t="n">
        <x:v>62</x:v>
      </x:c>
      <x:c r="J18" s="175" t="n">
        <x:v>0.0144</x:v>
      </x:c>
      <x:c r="K18" s="141" t="n">
        <x:v>2.31</x:v>
      </x:c>
      <x:c r="L18" s="141" t="n">
        <x:v>11</x:v>
      </x:c>
      <x:c r="M18" s="141" t="n">
        <x:v>24.4</x:v>
      </x:c>
      <x:c r="N18" s="141" t="str">
        <x:v>Demand ramp-up</x:v>
      </x:c>
      <x:c r="O18" t="n">
        <x:f>E18-D18</x:f>
        <x:v>-360</x:v>
      </x:c>
    </x:row>
    <x:row r="19">
      <x:c r="A19" s="171" t="n">
        <x:v>46296</x:v>
      </x:c>
      <x:c r="B19" s="141" t="str">
        <x:v>Q4</x:v>
      </x:c>
      <x:c r="C19" s="141" t="str">
        <x:v>Line B</x:v>
      </x:c>
      <x:c r="D19" s="141" t="n">
        <x:v>3985</x:v>
      </x:c>
      <x:c r="E19" s="141" t="n">
        <x:v>3690</x:v>
      </x:c>
      <x:c r="F19" s="175" t="n">
        <x:v>0.9438</x:v>
      </x:c>
      <x:c r="G19" s="175" t="n">
        <x:v>0.0365</x:v>
      </x:c>
      <x:c r="H19" s="175" t="n">
        <x:v>0.0576</x:v>
      </x:c>
      <x:c r="I19" s="141" t="n">
        <x:v>47</x:v>
      </x:c>
      <x:c r="J19" s="175" t="n">
        <x:v>0.0132</x:v>
      </x:c>
      <x:c r="K19" s="141" t="n">
        <x:v>2.34</x:v>
      </x:c>
      <x:c r="L19" s="141" t="n">
        <x:v>10</x:v>
      </x:c>
      <x:c r="M19" s="141" t="n">
        <x:v>27.6</x:v>
      </x:c>
      <x:c r="N19" s="141" t="str">
        <x:v>Demand ramp-up</x:v>
      </x:c>
      <x:c r="O19" t="n">
        <x:f>E19-D19</x:f>
        <x:v>-295</x:v>
      </x:c>
    </x:row>
    <x:row r="20">
      <x:c r="A20" s="171" t="n">
        <x:v>46327</x:v>
      </x:c>
      <x:c r="B20" s="141" t="str">
        <x:v>Q4</x:v>
      </x:c>
      <x:c r="C20" s="141" t="str">
        <x:v>Line A</x:v>
      </x:c>
      <x:c r="D20" s="141" t="n">
        <x:v>4147</x:v>
      </x:c>
      <x:c r="E20" s="141" t="n">
        <x:v>3840</x:v>
      </x:c>
      <x:c r="F20" s="175" t="n">
        <x:v>0.9573</x:v>
      </x:c>
      <x:c r="G20" s="175" t="n">
        <x:v>0.0336</x:v>
      </x:c>
      <x:c r="H20" s="175" t="n">
        <x:v>0.0404</x:v>
      </x:c>
      <x:c r="I20" s="141" t="n">
        <x:v>45</x:v>
      </x:c>
      <x:c r="J20" s="175" t="n">
        <x:v>0.0121</x:v>
      </x:c>
      <x:c r="K20" s="141" t="n">
        <x:v>2.48</x:v>
      </x:c>
      <x:c r="L20" s="141" t="n">
        <x:v>10</x:v>
      </x:c>
      <x:c r="M20" s="141" t="n">
        <x:v>19.4</x:v>
      </x:c>
      <x:c r="N20" s="141" t="str">
        <x:v>Demand ramp-up</x:v>
      </x:c>
      <x:c r="O20" t="n">
        <x:f>E20-D20</x:f>
        <x:v>-307</x:v>
      </x:c>
    </x:row>
    <x:row r="21">
      <x:c r="A21" s="171" t="n">
        <x:v>46327</x:v>
      </x:c>
      <x:c r="B21" s="141" t="str">
        <x:v>Q4</x:v>
      </x:c>
      <x:c r="C21" s="141" t="str">
        <x:v>Line B</x:v>
      </x:c>
      <x:c r="D21" s="141" t="n">
        <x:v>3525</x:v>
      </x:c>
      <x:c r="E21" s="141" t="n">
        <x:v>3264</x:v>
      </x:c>
      <x:c r="F21" s="175" t="n">
        <x:v>0.9615</x:v>
      </x:c>
      <x:c r="G21" s="175" t="n">
        <x:v>0.0368</x:v>
      </x:c>
      <x:c r="H21" s="175" t="n">
        <x:v>0.0601</x:v>
      </x:c>
      <x:c r="I21" s="141" t="n">
        <x:v>42</x:v>
      </x:c>
      <x:c r="J21" s="175" t="n">
        <x:v>0.0133</x:v>
      </x:c>
      <x:c r="K21" s="141" t="n">
        <x:v>2.56</x:v>
      </x:c>
      <x:c r="L21" s="141" t="n">
        <x:v>10</x:v>
      </x:c>
      <x:c r="M21" s="141" t="n">
        <x:v>21.6</x:v>
      </x:c>
      <x:c r="N21" s="141" t="str">
        <x:v>Demand ramp-up</x:v>
      </x:c>
      <x:c r="O21" t="n">
        <x:f>E21-D21</x:f>
        <x:v>-261</x:v>
      </x:c>
    </x:row>
    <x:row r="22">
      <x:c r="A22" s="171" t="n">
        <x:v>46327</x:v>
      </x:c>
      <x:c r="B22" s="141" t="str">
        <x:v>Q4</x:v>
      </x:c>
      <x:c r="C22" s="141" t="str">
        <x:v>Line C</x:v>
      </x:c>
      <x:c r="D22" s="141" t="n">
        <x:v>2695</x:v>
      </x:c>
      <x:c r="E22" s="141" t="n">
        <x:v>2496</x:v>
      </x:c>
      <x:c r="F22" s="175" t="n">
        <x:v>0.9521</x:v>
      </x:c>
      <x:c r="G22" s="175" t="n">
        <x:v>0.0374</x:v>
      </x:c>
      <x:c r="H22" s="175" t="n">
        <x:v>0.0399</x:v>
      </x:c>
      <x:c r="I22" s="141" t="n">
        <x:v>32</x:v>
      </x:c>
      <x:c r="J22" s="175" t="n">
        <x:v>0.0135</x:v>
      </x:c>
      <x:c r="K22" s="141" t="n">
        <x:v>2.61</x:v>
      </x:c>
      <x:c r="L22" s="141" t="n">
        <x:v>10</x:v>
      </x:c>
      <x:c r="M22" s="141" t="n">
        <x:v>27.8</x:v>
      </x:c>
      <x:c r="N22" s="141" t="str">
        <x:v>Demand ramp-up</x:v>
      </x:c>
      <x:c r="O22" t="n">
        <x:f>E22-D22</x:f>
        <x:v>-199</x:v>
      </x:c>
    </x:row>
    <x:row r="23">
      <x:c r="A23" s="171" t="n">
        <x:v>46357</x:v>
      </x:c>
      <x:c r="B23" s="141" t="str">
        <x:v>Q4</x:v>
      </x:c>
      <x:c r="C23" s="141" t="str">
        <x:v>Line A</x:v>
      </x:c>
      <x:c r="D23" s="141" t="n">
        <x:v>4665</x:v>
      </x:c>
      <x:c r="E23" s="141" t="n">
        <x:v>4320</x:v>
      </x:c>
      <x:c r="F23" s="175" t="n">
        <x:v>0.9568</x:v>
      </x:c>
      <x:c r="G23" s="175" t="n">
        <x:v>0.0212</x:v>
      </x:c>
      <x:c r="H23" s="175" t="n">
        <x:v>0.0417</x:v>
      </x:c>
      <x:c r="I23" s="141" t="n">
        <x:v>32</x:v>
      </x:c>
      <x:c r="J23" s="175" t="n">
        <x:v>0.0076</x:v>
      </x:c>
      <x:c r="K23" s="141" t="n">
        <x:v>2.62</x:v>
      </x:c>
      <x:c r="L23" s="141" t="n">
        <x:v>10</x:v>
      </x:c>
      <x:c r="M23" s="141" t="n">
        <x:v>17.6</x:v>
      </x:c>
      <x:c r="N23" s="141" t="str">
        <x:v>Demand ramp-up</x:v>
      </x:c>
      <x:c r="O23" t="n">
        <x:f>E23-D23</x:f>
        <x:v>-345</x:v>
      </x:c>
    </x:row>
    <x:row r="24">
      <x:c r="A24" s="171" t="n">
        <x:v>46357</x:v>
      </x:c>
      <x:c r="B24" s="141" t="str">
        <x:v>Q4</x:v>
      </x:c>
      <x:c r="C24" s="141" t="str">
        <x:v>Line B</x:v>
      </x:c>
      <x:c r="D24" s="141" t="n">
        <x:v>3965</x:v>
      </x:c>
      <x:c r="E24" s="141" t="n">
        <x:v>3672</x:v>
      </x:c>
      <x:c r="F24" s="175" t="n">
        <x:v>0.9577</x:v>
      </x:c>
      <x:c r="G24" s="175" t="n">
        <x:v>0.0252</x:v>
      </x:c>
      <x:c r="H24" s="175" t="n">
        <x:v>0.0472</x:v>
      </x:c>
      <x:c r="I24" s="141" t="n">
        <x:v>32</x:v>
      </x:c>
      <x:c r="J24" s="175" t="n">
        <x:v>0.0091</x:v>
      </x:c>
      <x:c r="K24" s="141" t="n">
        <x:v>2.75</x:v>
      </x:c>
      <x:c r="L24" s="141" t="n">
        <x:v>10</x:v>
      </x:c>
      <x:c r="M24" s="141" t="n">
        <x:v>20.3</x:v>
      </x:c>
      <x:c r="N24" s="141" t="str">
        <x:v>Demand ramp-up</x:v>
      </x:c>
      <x:c r="O24" t="n">
        <x:f>E24-D24</x:f>
        <x:v>-293</x:v>
      </x:c>
    </x:row>
    <x:row r="25">
      <x:c r="A25" s="171" t="n">
        <x:v>46357</x:v>
      </x:c>
      <x:c r="B25" s="141" t="str">
        <x:v>Q4</x:v>
      </x:c>
      <x:c r="C25" s="141" t="str">
        <x:v>Line C</x:v>
      </x:c>
      <x:c r="D25" s="141" t="n">
        <x:v>3032</x:v>
      </x:c>
      <x:c r="E25" s="141" t="n">
        <x:v>2808</x:v>
      </x:c>
      <x:c r="F25" s="175" t="n">
        <x:v>0.9654</x:v>
      </x:c>
      <x:c r="G25" s="175" t="n">
        <x:v>0.0237</x:v>
      </x:c>
      <x:c r="H25" s="175" t="n">
        <x:v>0.0455</x:v>
      </x:c>
      <x:c r="I25" s="141" t="n">
        <x:v>23</x:v>
      </x:c>
      <x:c r="J25" s="175" t="n">
        <x:v>0.0085</x:v>
      </x:c>
      <x:c r="K25" s="141" t="n">
        <x:v>2.73</x:v>
      </x:c>
      <x:c r="L25" s="141" t="n">
        <x:v>10</x:v>
      </x:c>
      <x:c r="M25" s="141" t="n">
        <x:v>13.1</x:v>
      </x:c>
      <x:c r="N25" s="141" t="str">
        <x:v>Demand ramp-up</x:v>
      </x:c>
      <x:c r="O25" t="n">
        <x:f>E25-D25</x:f>
        <x:v>-224</x:v>
      </x:c>
    </x:row>
  </x:sheetData>
  <x:mergeCells>
    <x:mergeCell ref="A1:N2"/>
    <x:mergeCell ref="A3:N3"/>
  </x:mergeCells>
  <x:conditionalFormatting sqref="F6:F25">
    <x:cfRule type="colorScale" priority="1">
      <x:colorScale>
        <x:cfvo type="min"/>
        <x:cfvo type="percentile" val="50"/>
        <x:cfvo type="max"/>
        <x:color rgb="FFFEE2E2"/>
        <x:color rgb="FFFEF3C7"/>
        <x:color rgb="FFDCFCE7"/>
      </x:colorScale>
    </x:cfRule>
  </x:conditionalFormatting>
  <x:conditionalFormatting sqref="G6:G25">
    <x:cfRule type="colorScale" priority="2">
      <x:colorScale>
        <x:cfvo type="min"/>
        <x:cfvo type="percentile" val="50"/>
        <x:cfvo type="max"/>
        <x:color rgb="FFFEE2E2"/>
        <x:color rgb="FFFEF3C7"/>
        <x:color rgb="FFDCFCE7"/>
      </x:colorScale>
    </x:cfRule>
  </x:conditionalFormatting>
  <x:conditionalFormatting sqref="K6:K25">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bdb40711c6a04ccd"/>
  </x:tableParts>
</x:worksheet>
</file>

<file path=xl/worksheets/sheet14.xml><?xml version="1.0" encoding="utf-8"?>
<x:worksheet xmlns:x="http://schemas.openxmlformats.org/spreadsheetml/2006/main">
  <x:sheetFormatPr defaultRowHeight="15"/>
  <x:cols>
    <x:col min="1" max="1" width="13" hidden="0" customWidth="1"/>
    <x:col min="2" max="2" width="1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5" hidden="0" customWidth="1"/>
  </x:cols>
  <x:sheetData>
    <x:row r="1">
      <x:c r="A1" s="88" t="str">
        <x:v>Monthly Benefits Realization and Operating Profit</x:v>
      </x:c>
      <x:c r="B1" s="88"/>
      <x:c r="C1" s="88"/>
      <x:c r="D1" s="88"/>
      <x:c r="E1" s="88"/>
      <x:c r="F1" s="88"/>
      <x:c r="G1" s="88"/>
      <x:c r="H1" s="88"/>
      <x:c r="I1" s="88"/>
      <x:c r="J1" s="88"/>
      <x:c r="K1" s="88"/>
      <x:c r="L1" s="88"/>
      <x:c r="M1" s="88"/>
      <x:c r="N1" s="88"/>
      <x:c r="O1" s="88"/>
    </x:row>
    <x:row r="2">
      <x:c r="A2" s="88"/>
      <x:c r="B2" s="88"/>
      <x:c r="C2" s="88"/>
      <x:c r="D2" s="88"/>
      <x:c r="E2" s="88"/>
      <x:c r="F2" s="88"/>
      <x:c r="G2" s="88"/>
      <x:c r="H2" s="88"/>
      <x:c r="I2" s="88"/>
      <x:c r="J2" s="88"/>
      <x:c r="K2" s="88"/>
      <x:c r="L2" s="88"/>
      <x:c r="M2" s="88"/>
      <x:c r="N2" s="88"/>
      <x:c r="O2" s="88"/>
    </x:row>
    <x:row r="3">
      <x:c r="A3" s="13" t="str">
        <x:v>The model links revenue, workforce cost, material, scrap, warranty and transformation cost to operating profit.</x:v>
      </x:c>
      <x:c r="B3" s="13"/>
      <x:c r="C3" s="13"/>
      <x:c r="D3" s="13"/>
      <x:c r="E3" s="13"/>
      <x:c r="F3" s="13"/>
      <x:c r="G3" s="13"/>
      <x:c r="H3" s="13"/>
      <x:c r="I3" s="13"/>
      <x:c r="J3" s="13"/>
      <x:c r="K3" s="13"/>
      <x:c r="L3" s="13"/>
      <x:c r="M3" s="13"/>
      <x:c r="N3" s="13"/>
      <x:c r="O3" s="13"/>
    </x:row>
    <x:row r="5" ht="30" customHeight="1">
      <x:c r="A5" s="135" t="str">
        <x:v>Month</x:v>
      </x:c>
      <x:c r="B5" s="135" t="str">
        <x:v>Quarter</x:v>
      </x:c>
      <x:c r="C5" s="135" t="str">
        <x:v>Active_Headcount</x:v>
      </x:c>
      <x:c r="D5" s="135" t="str">
        <x:v>Units_Sold</x:v>
      </x:c>
      <x:c r="E5" s="135" t="str">
        <x:v>Revenue_BDT_Million</x:v>
      </x:c>
      <x:c r="F5" s="135" t="str">
        <x:v>Material_Cost_BDT_Million</x:v>
      </x:c>
      <x:c r="G5" s="135" t="str">
        <x:v>Workforce_Cost_BDT_Million</x:v>
      </x:c>
      <x:c r="H5" s="135" t="str">
        <x:v>Overhead_BDT_Million</x:v>
      </x:c>
      <x:c r="I5" s="135" t="str">
        <x:v>Scrap_Cost_BDT_Million</x:v>
      </x:c>
      <x:c r="J5" s="135" t="str">
        <x:v>Warranty_Cost_BDT_Million</x:v>
      </x:c>
      <x:c r="K5" s="135" t="str">
        <x:v>HR_Transformation_Cost_BDT_Million</x:v>
      </x:c>
      <x:c r="L5" s="135" t="str">
        <x:v>Other_Operating_Cost_BDT_Million</x:v>
      </x:c>
      <x:c r="M5" s="135" t="str">
        <x:v>Operating_Profit_BDT_Million</x:v>
      </x:c>
      <x:c r="N5" s="135" t="str">
        <x:v>Cumulative_Profit_BDT_Million</x:v>
      </x:c>
      <x:c r="O5" s="135" t="str">
        <x:v>Investment_Sale_Risk</x:v>
      </x:c>
      <x:c r="P5" s="114" t="str">
        <x:v>Operating_Margin</x:v>
      </x:c>
    </x:row>
    <x:row r="6">
      <x:c r="A6" s="171" t="n">
        <x:v>46023</x:v>
      </x:c>
      <x:c r="B6" s="141" t="str">
        <x:v>Q1</x:v>
      </x:c>
      <x:c r="C6" s="141" t="n">
        <x:v>100</x:v>
      </x:c>
      <x:c r="D6" s="141" t="n">
        <x:v>2833</x:v>
      </x:c>
      <x:c r="E6" s="173" t="n">
        <x:v>24</x:v>
      </x:c>
      <x:c r="F6" s="173" t="n">
        <x:v>19.5</x:v>
      </x:c>
      <x:c r="G6" s="173" t="n">
        <x:v>6.44</x:v>
      </x:c>
      <x:c r="H6" s="173" t="n">
        <x:v>8</x:v>
      </x:c>
      <x:c r="I6" s="173" t="n">
        <x:v>0.51</x:v>
      </x:c>
      <x:c r="J6" s="173" t="n">
        <x:v>0.84</x:v>
      </x:c>
      <x:c r="K6" s="173" t="n">
        <x:v>2.8</x:v>
      </x:c>
      <x:c r="L6" s="173" t="n">
        <x:v>4</x:v>
      </x:c>
      <x:c r="M6" s="173" t="n">
        <x:v>-18.09</x:v>
      </x:c>
      <x:c r="N6" s="173" t="n">
        <x:v>-18.09</x:v>
      </x:c>
      <x:c r="O6" s="141" t="str">
        <x:v>Critical</x:v>
      </x:c>
      <x:c r="P6" s="84" t="n">
        <x:f>IFERROR(M6/E6,0)</x:f>
        <x:v>-0.75375</x:v>
      </x:c>
    </x:row>
    <x:row r="7">
      <x:c r="A7" s="171" t="n">
        <x:v>46054</x:v>
      </x:c>
      <x:c r="B7" s="141" t="str">
        <x:v>Q1</x:v>
      </x:c>
      <x:c r="C7" s="141" t="n">
        <x:v>63</x:v>
      </x:c>
      <x:c r="D7" s="141" t="n">
        <x:v>2425</x:v>
      </x:c>
      <x:c r="E7" s="173" t="n">
        <x:v>20</x:v>
      </x:c>
      <x:c r="F7" s="173" t="n">
        <x:v>17.2</x:v>
      </x:c>
      <x:c r="G7" s="173" t="n">
        <x:v>4.78</x:v>
      </x:c>
      <x:c r="H7" s="173" t="n">
        <x:v>7.8</x:v>
      </x:c>
      <x:c r="I7" s="173" t="n">
        <x:v>0.46</x:v>
      </x:c>
      <x:c r="J7" s="173" t="n">
        <x:v>0.76</x:v>
      </x:c>
      <x:c r="K7" s="173" t="n">
        <x:v>4.5</x:v>
      </x:c>
      <x:c r="L7" s="173" t="n">
        <x:v>4.2</x:v>
      </x:c>
      <x:c r="M7" s="173" t="n">
        <x:v>-19.7</x:v>
      </x:c>
      <x:c r="N7" s="173" t="n">
        <x:v>-37.79</x:v>
      </x:c>
      <x:c r="O7" s="141" t="str">
        <x:v>Critical</x:v>
      </x:c>
      <x:c r="P7" s="84" t="n">
        <x:f>IFERROR(M7/E7,0)</x:f>
        <x:v>-0.985</x:v>
      </x:c>
    </x:row>
    <x:row r="8">
      <x:c r="A8" s="171" t="n">
        <x:v>46082</x:v>
      </x:c>
      <x:c r="B8" s="141" t="str">
        <x:v>Q1</x:v>
      </x:c>
      <x:c r="C8" s="141" t="n">
        <x:v>52</x:v>
      </x:c>
      <x:c r="D8" s="141" t="n">
        <x:v>2207</x:v>
      </x:c>
      <x:c r="E8" s="173" t="n">
        <x:v>19</x:v>
      </x:c>
      <x:c r="F8" s="173" t="n">
        <x:v>15.8</x:v>
      </x:c>
      <x:c r="G8" s="173" t="n">
        <x:v>4.3</x:v>
      </x:c>
      <x:c r="H8" s="173" t="n">
        <x:v>7</x:v>
      </x:c>
      <x:c r="I8" s="173" t="n">
        <x:v>0.37</x:v>
      </x:c>
      <x:c r="J8" s="173" t="n">
        <x:v>0.61</x:v>
      </x:c>
      <x:c r="K8" s="173" t="n">
        <x:v>2</x:v>
      </x:c>
      <x:c r="L8" s="173" t="n">
        <x:v>3.8</x:v>
      </x:c>
      <x:c r="M8" s="173" t="n">
        <x:v>-14.88</x:v>
      </x:c>
      <x:c r="N8" s="173" t="n">
        <x:v>-52.67</x:v>
      </x:c>
      <x:c r="O8" s="141" t="str">
        <x:v>Critical</x:v>
      </x:c>
      <x:c r="P8" s="84" t="n">
        <x:f>IFERROR(M8/E8,0)</x:f>
        <x:v>-0.7831578947368422</x:v>
      </x:c>
    </x:row>
    <x:row r="9">
      <x:c r="A9" s="171" t="n">
        <x:v>46113</x:v>
      </x:c>
      <x:c r="B9" s="141" t="str">
        <x:v>Q2</x:v>
      </x:c>
      <x:c r="C9" s="141" t="n">
        <x:v>56</x:v>
      </x:c>
      <x:c r="D9" s="141" t="n">
        <x:v>2558</x:v>
      </x:c>
      <x:c r="E9" s="173" t="n">
        <x:v>22</x:v>
      </x:c>
      <x:c r="F9" s="173" t="n">
        <x:v>16</x:v>
      </x:c>
      <x:c r="G9" s="173" t="n">
        <x:v>4.45</x:v>
      </x:c>
      <x:c r="H9" s="173" t="n">
        <x:v>6.6</x:v>
      </x:c>
      <x:c r="I9" s="173" t="n">
        <x:v>0.36</x:v>
      </x:c>
      <x:c r="J9" s="173" t="n">
        <x:v>0.6</x:v>
      </x:c>
      <x:c r="K9" s="173" t="n">
        <x:v>1.3</x:v>
      </x:c>
      <x:c r="L9" s="173" t="n">
        <x:v>3.4</x:v>
      </x:c>
      <x:c r="M9" s="173" t="n">
        <x:v>-10.71</x:v>
      </x:c>
      <x:c r="N9" s="173" t="n">
        <x:v>-63.38</x:v>
      </x:c>
      <x:c r="O9" s="141" t="str">
        <x:v>High</x:v>
      </x:c>
      <x:c r="P9" s="84" t="n">
        <x:f>IFERROR(M9/E9,0)</x:f>
        <x:v>-0.48681818181818187</x:v>
      </x:c>
    </x:row>
    <x:row r="10">
      <x:c r="A10" s="171" t="n">
        <x:v>46143</x:v>
      </x:c>
      <x:c r="B10" s="141" t="str">
        <x:v>Q2</x:v>
      </x:c>
      <x:c r="C10" s="141" t="n">
        <x:v>62</x:v>
      </x:c>
      <x:c r="D10" s="141" t="n">
        <x:v>3223</x:v>
      </x:c>
      <x:c r="E10" s="173" t="n">
        <x:v>27</x:v>
      </x:c>
      <x:c r="F10" s="173" t="n">
        <x:v>17.5</x:v>
      </x:c>
      <x:c r="G10" s="173" t="n">
        <x:v>5.04</x:v>
      </x:c>
      <x:c r="H10" s="173" t="n">
        <x:v>6.5</x:v>
      </x:c>
      <x:c r="I10" s="173" t="n">
        <x:v>0.36</x:v>
      </x:c>
      <x:c r="J10" s="173" t="n">
        <x:v>0.59</x:v>
      </x:c>
      <x:c r="K10" s="173" t="n">
        <x:v>1.3</x:v>
      </x:c>
      <x:c r="L10" s="173" t="n">
        <x:v>3.1</x:v>
      </x:c>
      <x:c r="M10" s="173" t="n">
        <x:v>-7.39</x:v>
      </x:c>
      <x:c r="N10" s="173" t="n">
        <x:v>-70.77</x:v>
      </x:c>
      <x:c r="O10" s="141" t="str">
        <x:v>High</x:v>
      </x:c>
      <x:c r="P10" s="84" t="n">
        <x:f>IFERROR(M10/E10,0)</x:f>
        <x:v>-0.27370370370370367</x:v>
      </x:c>
    </x:row>
    <x:row r="11">
      <x:c r="A11" s="171" t="n">
        <x:v>46174</x:v>
      </x:c>
      <x:c r="B11" s="141" t="str">
        <x:v>Q2</x:v>
      </x:c>
      <x:c r="C11" s="141" t="n">
        <x:v>70</x:v>
      </x:c>
      <x:c r="D11" s="141" t="n">
        <x:v>3800</x:v>
      </x:c>
      <x:c r="E11" s="173" t="n">
        <x:v>33</x:v>
      </x:c>
      <x:c r="F11" s="173" t="n">
        <x:v>20</x:v>
      </x:c>
      <x:c r="G11" s="173" t="n">
        <x:v>5.59</x:v>
      </x:c>
      <x:c r="H11" s="173" t="n">
        <x:v>6.8</x:v>
      </x:c>
      <x:c r="I11" s="173" t="n">
        <x:v>0.35</x:v>
      </x:c>
      <x:c r="J11" s="173" t="n">
        <x:v>0.57</x:v>
      </x:c>
      <x:c r="K11" s="173" t="n">
        <x:v>1.3</x:v>
      </x:c>
      <x:c r="L11" s="173" t="n">
        <x:v>3</x:v>
      </x:c>
      <x:c r="M11" s="173" t="n">
        <x:v>-4.61</x:v>
      </x:c>
      <x:c r="N11" s="173" t="n">
        <x:v>-75.38</x:v>
      </x:c>
      <x:c r="O11" s="141" t="str">
        <x:v>High</x:v>
      </x:c>
      <x:c r="P11" s="84" t="n">
        <x:f>IFERROR(M11/E11,0)</x:f>
        <x:v>-0.1396969696969697</x:v>
      </x:c>
    </x:row>
    <x:row r="12">
      <x:c r="A12" s="171" t="n">
        <x:v>46204</x:v>
      </x:c>
      <x:c r="B12" s="141" t="str">
        <x:v>Q3</x:v>
      </x:c>
      <x:c r="C12" s="141" t="n">
        <x:v>74</x:v>
      </x:c>
      <x:c r="D12" s="141" t="n">
        <x:v>4821</x:v>
      </x:c>
      <x:c r="E12" s="173" t="n">
        <x:v>45</x:v>
      </x:c>
      <x:c r="F12" s="173" t="n">
        <x:v>27.5</x:v>
      </x:c>
      <x:c r="G12" s="173" t="n">
        <x:v>5.93</x:v>
      </x:c>
      <x:c r="H12" s="173" t="n">
        <x:v>7.5</x:v>
      </x:c>
      <x:c r="I12" s="173" t="n">
        <x:v>0.37</x:v>
      </x:c>
      <x:c r="J12" s="173" t="n">
        <x:v>0.61</x:v>
      </x:c>
      <x:c r="K12" s="173" t="n">
        <x:v>0.9</x:v>
      </x:c>
      <x:c r="L12" s="173" t="n">
        <x:v>3.3</x:v>
      </x:c>
      <x:c r="M12" s="173" t="n">
        <x:v>-1.12</x:v>
      </x:c>
      <x:c r="N12" s="173" t="n">
        <x:v>-76.5</x:v>
      </x:c>
      <x:c r="O12" s="141" t="str">
        <x:v>Moderate</x:v>
      </x:c>
      <x:c r="P12" s="84" t="n">
        <x:f>IFERROR(M12/E12,0)</x:f>
        <x:v>-0.02488888888888889</x:v>
      </x:c>
    </x:row>
    <x:row r="13">
      <x:c r="A13" s="171" t="n">
        <x:v>46235</x:v>
      </x:c>
      <x:c r="B13" s="141" t="str">
        <x:v>Q3</x:v>
      </x:c>
      <x:c r="C13" s="141" t="n">
        <x:v>90</x:v>
      </x:c>
      <x:c r="D13" s="141" t="n">
        <x:v>5914</x:v>
      </x:c>
      <x:c r="E13" s="173" t="n">
        <x:v>55</x:v>
      </x:c>
      <x:c r="F13" s="173" t="n">
        <x:v>32</x:v>
      </x:c>
      <x:c r="G13" s="173" t="n">
        <x:v>6.72</x:v>
      </x:c>
      <x:c r="H13" s="173" t="n">
        <x:v>7.8</x:v>
      </x:c>
      <x:c r="I13" s="173" t="n">
        <x:v>0.35</x:v>
      </x:c>
      <x:c r="J13" s="173" t="n">
        <x:v>0.58</x:v>
      </x:c>
      <x:c r="K13" s="173" t="n">
        <x:v>0.9</x:v>
      </x:c>
      <x:c r="L13" s="173" t="n">
        <x:v>3.5</x:v>
      </x:c>
      <x:c r="M13" s="173" t="n">
        <x:v>3.15</x:v>
      </x:c>
      <x:c r="N13" s="173" t="n">
        <x:v>-73.35</x:v>
      </x:c>
      <x:c r="O13" s="141" t="str">
        <x:v>Moderate</x:v>
      </x:c>
      <x:c r="P13" s="84" t="n">
        <x:f>IFERROR(M13/E13,0)</x:f>
        <x:v>0.057272727272727274</x:v>
      </x:c>
    </x:row>
    <x:row r="14">
      <x:c r="A14" s="171" t="n">
        <x:v>46266</x:v>
      </x:c>
      <x:c r="B14" s="141" t="str">
        <x:v>Q3</x:v>
      </x:c>
      <x:c r="C14" s="141" t="n">
        <x:v>99</x:v>
      </x:c>
      <x:c r="D14" s="141" t="n">
        <x:v>6596</x:v>
      </x:c>
      <x:c r="E14" s="173" t="n">
        <x:v>66</x:v>
      </x:c>
      <x:c r="F14" s="173" t="n">
        <x:v>37</x:v>
      </x:c>
      <x:c r="G14" s="173" t="n">
        <x:v>7.29</x:v>
      </x:c>
      <x:c r="H14" s="173" t="n">
        <x:v>8.2</x:v>
      </x:c>
      <x:c r="I14" s="173" t="n">
        <x:v>0.32</x:v>
      </x:c>
      <x:c r="J14" s="173" t="n">
        <x:v>0.53</x:v>
      </x:c>
      <x:c r="K14" s="173" t="n">
        <x:v>0.9</x:v>
      </x:c>
      <x:c r="L14" s="173" t="n">
        <x:v>3.7</x:v>
      </x:c>
      <x:c r="M14" s="173" t="n">
        <x:v>8.06</x:v>
      </x:c>
      <x:c r="N14" s="173" t="n">
        <x:v>-65.29</x:v>
      </x:c>
      <x:c r="O14" s="141" t="str">
        <x:v>Moderate</x:v>
      </x:c>
      <x:c r="P14" s="84" t="n">
        <x:f>IFERROR(M14/E14,0)</x:f>
        <x:v>0.12212121212121213</x:v>
      </x:c>
    </x:row>
    <x:row r="15">
      <x:c r="A15" s="171" t="n">
        <x:v>46296</x:v>
      </x:c>
      <x:c r="B15" s="141" t="str">
        <x:v>Q4</x:v>
      </x:c>
      <x:c r="C15" s="141" t="n">
        <x:v>107</x:v>
      </x:c>
      <x:c r="D15" s="141" t="n">
        <x:v>7494</x:v>
      </x:c>
      <x:c r="E15" s="173" t="n">
        <x:v>78</x:v>
      </x:c>
      <x:c r="F15" s="173" t="n">
        <x:v>43</x:v>
      </x:c>
      <x:c r="G15" s="173" t="n">
        <x:v>7.69</x:v>
      </x:c>
      <x:c r="H15" s="173" t="n">
        <x:v>8.5</x:v>
      </x:c>
      <x:c r="I15" s="173" t="n">
        <x:v>0.27</x:v>
      </x:c>
      <x:c r="J15" s="173" t="n">
        <x:v>0.45</x:v>
      </x:c>
      <x:c r="K15" s="173" t="n">
        <x:v>0.6</x:v>
      </x:c>
      <x:c r="L15" s="173" t="n">
        <x:v>3.8</x:v>
      </x:c>
      <x:c r="M15" s="173" t="n">
        <x:v>13.69</x:v>
      </x:c>
      <x:c r="N15" s="173" t="n">
        <x:v>-51.6</x:v>
      </x:c>
      <x:c r="O15" s="141" t="str">
        <x:v>Low</x:v>
      </x:c>
      <x:c r="P15" s="84" t="n">
        <x:f>IFERROR(M15/E15,0)</x:f>
        <x:v>0.1755128205128205</x:v>
      </x:c>
    </x:row>
    <x:row r="16">
      <x:c r="A16" s="171" t="n">
        <x:v>46327</x:v>
      </x:c>
      <x:c r="B16" s="141" t="str">
        <x:v>Q4</x:v>
      </x:c>
      <x:c r="C16" s="141" t="n">
        <x:v>112</x:v>
      </x:c>
      <x:c r="D16" s="141" t="n">
        <x:v>8590</x:v>
      </x:c>
      <x:c r="E16" s="173" t="n">
        <x:v>94</x:v>
      </x:c>
      <x:c r="F16" s="173" t="n">
        <x:v>50</x:v>
      </x:c>
      <x:c r="G16" s="173" t="n">
        <x:v>8.25</x:v>
      </x:c>
      <x:c r="H16" s="173" t="n">
        <x:v>9</x:v>
      </x:c>
      <x:c r="I16" s="173" t="n">
        <x:v>0.24</x:v>
      </x:c>
      <x:c r="J16" s="173" t="n">
        <x:v>0.4</x:v>
      </x:c>
      <x:c r="K16" s="173" t="n">
        <x:v>0.6</x:v>
      </x:c>
      <x:c r="L16" s="173" t="n">
        <x:v>4</x:v>
      </x:c>
      <x:c r="M16" s="173" t="n">
        <x:v>21.51</x:v>
      </x:c>
      <x:c r="N16" s="173" t="n">
        <x:v>-30.09</x:v>
      </x:c>
      <x:c r="O16" s="141" t="str">
        <x:v>Low</x:v>
      </x:c>
      <x:c r="P16" s="84" t="n">
        <x:f>IFERROR(M16/E16,0)</x:f>
        <x:v>0.22882978723404257</x:v>
      </x:c>
    </x:row>
    <x:row r="17">
      <x:c r="A17" s="171" t="n">
        <x:v>46357</x:v>
      </x:c>
      <x:c r="B17" s="141" t="str">
        <x:v>Q4</x:v>
      </x:c>
      <x:c r="C17" s="141" t="n">
        <x:v>114</x:v>
      </x:c>
      <x:c r="D17" s="141" t="n">
        <x:v>10009</x:v>
      </x:c>
      <x:c r="E17" s="173" t="n">
        <x:v>108</x:v>
      </x:c>
      <x:c r="F17" s="173" t="n">
        <x:v>56</x:v>
      </x:c>
      <x:c r="G17" s="173" t="n">
        <x:v>8.28</x:v>
      </x:c>
      <x:c r="H17" s="173" t="n">
        <x:v>9.5</x:v>
      </x:c>
      <x:c r="I17" s="173" t="n">
        <x:v>0.23</x:v>
      </x:c>
      <x:c r="J17" s="173" t="n">
        <x:v>0.37</x:v>
      </x:c>
      <x:c r="K17" s="173" t="n">
        <x:v>0.6</x:v>
      </x:c>
      <x:c r="L17" s="173" t="n">
        <x:v>4.2</x:v>
      </x:c>
      <x:c r="M17" s="173" t="n">
        <x:v>28.82</x:v>
      </x:c>
      <x:c r="N17" s="173" t="n">
        <x:v>-1.27</x:v>
      </x:c>
      <x:c r="O17" s="141" t="str">
        <x:v>Low</x:v>
      </x:c>
      <x:c r="P17" s="84" t="n">
        <x:f>IFERROR(M17/E17,0)</x:f>
        <x:v>0.26685185185185184</x:v>
      </x:c>
    </x:row>
  </x:sheetData>
  <x:mergeCells>
    <x:mergeCell ref="A1:O2"/>
    <x:mergeCell ref="A3:O3"/>
  </x:mergeCells>
  <x:conditionalFormatting sqref="M6:M17">
    <x:cfRule type="colorScale" priority="1">
      <x:colorScale>
        <x:cfvo type="min"/>
        <x:cfvo type="percentile" val="50"/>
        <x:cfvo type="max"/>
        <x:color rgb="FFFEE2E2"/>
        <x:color rgb="FFFEF3C7"/>
        <x:color rgb="FFDCFCE7"/>
      </x:colorScale>
    </x:cfRule>
  </x:conditionalFormatting>
  <x:conditionalFormatting sqref="N6:N17">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3c0f71b418744a32"/>
  </x:tableParts>
</x:worksheet>
</file>

<file path=xl/worksheets/sheet15.xml><?xml version="1.0" encoding="utf-8"?>
<x:worksheet xmlns:x="http://schemas.openxmlformats.org/spreadsheetml/2006/main">
  <x:sheetFormatPr defaultRowHeight="15"/>
  <x:cols>
    <x:col min="1" max="1" width="30" hidden="0" customWidth="1"/>
    <x:col min="2" max="2" width="13" hidden="0" customWidth="1"/>
    <x:col min="3" max="3" width="14" hidden="0" customWidth="1"/>
    <x:col min="4" max="4" width="14" hidden="0" customWidth="1"/>
    <x:col min="5" max="5" width="14" hidden="0" customWidth="1"/>
    <x:col min="6" max="6" width="14" hidden="0" customWidth="1"/>
    <x:col min="7" max="7" width="14" hidden="0" customWidth="1"/>
  </x:cols>
  <x:sheetData>
    <x:row r="1">
      <x:c r="A1" s="88" t="str">
        <x:v>Q2 Controlled Pilot and Test-Control Evidence</x:v>
      </x:c>
      <x:c r="B1" s="88"/>
      <x:c r="C1" s="88"/>
      <x:c r="D1" s="88"/>
      <x:c r="E1" s="88"/>
      <x:c r="F1" s="88"/>
      <x:c r="G1" s="88"/>
    </x:row>
    <x:row r="2">
      <x:c r="A2" s="88"/>
      <x:c r="B2" s="88"/>
      <x:c r="C2" s="88"/>
      <x:c r="D2" s="88"/>
      <x:c r="E2" s="88"/>
      <x:c r="F2" s="88"/>
      <x:c r="G2" s="88"/>
    </x:row>
    <x:row r="3">
      <x:c r="A3" s="13" t="str">
        <x:v>The pilot is the approval gate between cost reset and scale.</x:v>
      </x:c>
      <x:c r="B3" s="13"/>
      <x:c r="C3" s="13"/>
      <x:c r="D3" s="13"/>
      <x:c r="E3" s="13"/>
      <x:c r="F3" s="13"/>
      <x:c r="G3" s="13"/>
    </x:row>
    <x:row r="5" ht="30" customHeight="1">
      <x:c r="A5" s="135" t="str">
        <x:v>Metric</x:v>
      </x:c>
      <x:c r="B5" s="135" t="str">
        <x:v>Unit</x:v>
      </x:c>
      <x:c r="C5" s="135" t="str">
        <x:v>Baseline_Q1</x:v>
      </x:c>
      <x:c r="D5" s="135" t="str">
        <x:v>Pilot_Target</x:v>
      </x:c>
      <x:c r="E5" s="135" t="str">
        <x:v>Pilot_Result</x:v>
      </x:c>
      <x:c r="F5" s="135" t="str">
        <x:v>Control_Result</x:v>
      </x:c>
      <x:c r="G5" s="135" t="str">
        <x:v>Decision</x:v>
      </x:c>
    </x:row>
    <x:row r="6">
      <x:c r="A6" s="141" t="str">
        <x:v>First Pass Yield</x:v>
      </x:c>
      <x:c r="B6" s="141" t="str">
        <x:v>%</x:v>
      </x:c>
      <x:c r="C6" s="141" t="n">
        <x:v>64</x:v>
      </x:c>
      <x:c r="D6" s="141" t="n">
        <x:v>78</x:v>
      </x:c>
      <x:c r="E6" s="141" t="n">
        <x:v>81</x:v>
      </x:c>
      <x:c r="F6" s="141" t="n">
        <x:v>69</x:v>
      </x:c>
      <x:c r="G6" s="141" t="str">
        <x:v>Scale</x:v>
      </x:c>
    </x:row>
    <x:row r="7">
      <x:c r="A7" s="141" t="str">
        <x:v>Defect Rate</x:v>
      </x:c>
      <x:c r="B7" s="141" t="str">
        <x:v>%</x:v>
      </x:c>
      <x:c r="C7" s="141" t="n">
        <x:v>18.2</x:v>
      </x:c>
      <x:c r="D7" s="141" t="n">
        <x:v>12</x:v>
      </x:c>
      <x:c r="E7" s="141" t="n">
        <x:v>10.2</x:v>
      </x:c>
      <x:c r="F7" s="141" t="n">
        <x:v>15.1</x:v>
      </x:c>
      <x:c r="G7" s="141" t="str">
        <x:v>Scale</x:v>
      </x:c>
    </x:row>
    <x:row r="8">
      <x:c r="A8" s="141" t="str">
        <x:v>Units per Labour Hour</x:v>
      </x:c>
      <x:c r="B8" s="141" t="str">
        <x:v>Units</x:v>
      </x:c>
      <x:c r="C8" s="141" t="n">
        <x:v>1.04</x:v>
      </x:c>
      <x:c r="D8" s="141" t="n">
        <x:v>1.45</x:v>
      </x:c>
      <x:c r="E8" s="141" t="n">
        <x:v>1.58</x:v>
      </x:c>
      <x:c r="F8" s="141" t="n">
        <x:v>1.21</x:v>
      </x:c>
      <x:c r="G8" s="141" t="str">
        <x:v>Scale</x:v>
      </x:c>
    </x:row>
    <x:row r="9">
      <x:c r="A9" s="141" t="str">
        <x:v>Absence Rate</x:v>
      </x:c>
      <x:c r="B9" s="141" t="str">
        <x:v>%</x:v>
      </x:c>
      <x:c r="C9" s="141" t="n">
        <x:v>7.1</x:v>
      </x:c>
      <x:c r="D9" s="141" t="n">
        <x:v>6</x:v>
      </x:c>
      <x:c r="E9" s="141" t="n">
        <x:v>5.7</x:v>
      </x:c>
      <x:c r="F9" s="141" t="n">
        <x:v>6.6</x:v>
      </x:c>
      <x:c r="G9" s="141" t="str">
        <x:v>Scale</x:v>
      </x:c>
    </x:row>
    <x:row r="10">
      <x:c r="A10" s="141" t="str">
        <x:v>Critical Skill Certification</x:v>
      </x:c>
      <x:c r="B10" s="141" t="str">
        <x:v>%</x:v>
      </x:c>
      <x:c r="C10" s="141" t="n">
        <x:v>32</x:v>
      </x:c>
      <x:c r="D10" s="141" t="n">
        <x:v>70</x:v>
      </x:c>
      <x:c r="E10" s="141" t="n">
        <x:v>84</x:v>
      </x:c>
      <x:c r="F10" s="141" t="n">
        <x:v>41</x:v>
      </x:c>
      <x:c r="G10" s="141" t="str">
        <x:v>Scale</x:v>
      </x:c>
    </x:row>
    <x:row r="11">
      <x:c r="A11" s="141" t="str">
        <x:v>Supervisor Check-in Completion</x:v>
      </x:c>
      <x:c r="B11" s="141" t="str">
        <x:v>%</x:v>
      </x:c>
      <x:c r="C11" s="141" t="n">
        <x:v>46</x:v>
      </x:c>
      <x:c r="D11" s="141" t="n">
        <x:v>80</x:v>
      </x:c>
      <x:c r="E11" s="141" t="n">
        <x:v>92</x:v>
      </x:c>
      <x:c r="F11" s="141" t="n">
        <x:v>57</x:v>
      </x:c>
      <x:c r="G11" s="141" t="str">
        <x:v>Scale</x:v>
      </x:c>
    </x:row>
    <x:row r="12">
      <x:c r="A12" s="141" t="str">
        <x:v>HR Service SLA</x:v>
      </x:c>
      <x:c r="B12" s="141" t="str">
        <x:v>%</x:v>
      </x:c>
      <x:c r="C12" s="141" t="n">
        <x:v>51</x:v>
      </x:c>
      <x:c r="D12" s="141" t="n">
        <x:v>75</x:v>
      </x:c>
      <x:c r="E12" s="141" t="n">
        <x:v>82</x:v>
      </x:c>
      <x:c r="F12" s="141" t="n">
        <x:v>60</x:v>
      </x:c>
      <x:c r="G12" s="141" t="str">
        <x:v>Scale</x:v>
      </x:c>
    </x:row>
    <x:row r="13">
      <x:c r="A13" s="141" t="str">
        <x:v>HRIS Self-Service Adoption</x:v>
      </x:c>
      <x:c r="B13" s="141" t="str">
        <x:v>%</x:v>
      </x:c>
      <x:c r="C13" s="141" t="n">
        <x:v>12</x:v>
      </x:c>
      <x:c r="D13" s="141" t="n">
        <x:v>55</x:v>
      </x:c>
      <x:c r="E13" s="141" t="n">
        <x:v>67</x:v>
      </x:c>
      <x:c r="F13" s="141" t="n">
        <x:v>21</x:v>
      </x:c>
      <x:c r="G13" s="141" t="str">
        <x:v>Scale</x:v>
      </x:c>
    </x:row>
  </x:sheetData>
  <x:mergeCells>
    <x:mergeCell ref="A1:G2"/>
    <x:mergeCell ref="A3:G3"/>
  </x:mergeCells>
  <x:conditionalFormatting sqref="E6:E13">
    <x:cfRule type="colorScale" priority="1">
      <x:colorScale>
        <x:cfvo type="min"/>
        <x:cfvo type="percentile" val="50"/>
        <x:cfvo type="max"/>
        <x:color rgb="FFFEE2E2"/>
        <x:color rgb="FFFEF3C7"/>
        <x:color rgb="FFDCFCE7"/>
      </x:colorScale>
    </x:cfRule>
  </x:conditionalFormatting>
  <x:conditionalFormatting sqref="F6:F13">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415548a26e16434f"/>
  </x:tableParts>
</x:worksheet>
</file>

<file path=xl/worksheets/sheet16.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25"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x:c r="A1" s="88" t="str">
        <x:v>HR Service Delivery and SLA</x:v>
      </x:c>
      <x:c r="B1" s="88"/>
      <x:c r="C1" s="88"/>
      <x:c r="D1" s="88"/>
      <x:c r="E1" s="88"/>
      <x:c r="F1" s="88"/>
      <x:c r="G1" s="88"/>
      <x:c r="H1" s="88"/>
      <x:c r="I1" s="88"/>
      <x:c r="J1" s="88"/>
    </x:row>
    <x:row r="2">
      <x:c r="A2" s="88"/>
      <x:c r="B2" s="88"/>
      <x:c r="C2" s="88"/>
      <x:c r="D2" s="88"/>
      <x:c r="E2" s="88"/>
      <x:c r="F2" s="88"/>
      <x:c r="G2" s="88"/>
      <x:c r="H2" s="88"/>
      <x:c r="I2" s="88"/>
      <x:c r="J2" s="88"/>
    </x:row>
    <x:row r="3">
      <x:c r="A3" s="13" t="str">
        <x:v>Ticket-level data supports SLA, resolution-time, satisfaction, priority and channel analysis.</x:v>
      </x:c>
      <x:c r="B3" s="13"/>
      <x:c r="C3" s="13"/>
      <x:c r="D3" s="13"/>
      <x:c r="E3" s="13"/>
      <x:c r="F3" s="13"/>
      <x:c r="G3" s="13"/>
      <x:c r="H3" s="13"/>
      <x:c r="I3" s="13"/>
      <x:c r="J3" s="13"/>
    </x:row>
    <x:row r="5" ht="30" customHeight="1">
      <x:c r="A5" s="135" t="str">
        <x:v>Ticket_ID</x:v>
      </x:c>
      <x:c r="B5" s="135" t="str">
        <x:v>Created_Date</x:v>
      </x:c>
      <x:c r="C5" s="135" t="str">
        <x:v>Quarter</x:v>
      </x:c>
      <x:c r="D5" s="135" t="str">
        <x:v>Ticket_Type</x:v>
      </x:c>
      <x:c r="E5" s="135" t="str">
        <x:v>Priority</x:v>
      </x:c>
      <x:c r="F5" s="135" t="str">
        <x:v>Resolution_Hours</x:v>
      </x:c>
      <x:c r="G5" s="135" t="str">
        <x:v>SLA_Target_Hours</x:v>
      </x:c>
      <x:c r="H5" s="135" t="str">
        <x:v>SLA_Met</x:v>
      </x:c>
      <x:c r="I5" s="135" t="str">
        <x:v>Employee_Satisfaction</x:v>
      </x:c>
      <x:c r="J5" s="135" t="str">
        <x:v>Channel</x:v>
      </x:c>
    </x:row>
    <x:row r="6">
      <x:c r="A6" s="141" t="str">
        <x:v>TKT-0001</x:v>
      </x:c>
      <x:c r="B6" s="171" t="n">
        <x:v>46039</x:v>
      </x:c>
      <x:c r="C6" s="141" t="str">
        <x:v>Q1</x:v>
      </x:c>
      <x:c r="D6" s="141" t="str">
        <x:v>Grievance routing</x:v>
      </x:c>
      <x:c r="E6" s="141" t="str">
        <x:v>Low</x:v>
      </x:c>
      <x:c r="F6" s="141" t="n">
        <x:v>4.6</x:v>
      </x:c>
      <x:c r="G6" s="141" t="n">
        <x:v>40</x:v>
      </x:c>
      <x:c r="H6" s="141" t="str">
        <x:v>Yes</x:v>
      </x:c>
      <x:c r="I6" s="141" t="n">
        <x:v>5</x:v>
      </x:c>
      <x:c r="J6" s="141" t="str">
        <x:v>HRIS</x:v>
      </x:c>
    </x:row>
    <x:row r="7">
      <x:c r="A7" s="141" t="str">
        <x:v>TKT-0002</x:v>
      </x:c>
      <x:c r="B7" s="171" t="n">
        <x:v>46031</x:v>
      </x:c>
      <x:c r="C7" s="141" t="str">
        <x:v>Q1</x:v>
      </x:c>
      <x:c r="D7" s="141" t="str">
        <x:v>Grievance routing</x:v>
      </x:c>
      <x:c r="E7" s="141" t="str">
        <x:v>Medium</x:v>
      </x:c>
      <x:c r="F7" s="141" t="n">
        <x:v>91.3</x:v>
      </x:c>
      <x:c r="G7" s="141" t="n">
        <x:v>40</x:v>
      </x:c>
      <x:c r="H7" s="141" t="str">
        <x:v>No</x:v>
      </x:c>
      <x:c r="I7" s="141" t="n">
        <x:v>1</x:v>
      </x:c>
      <x:c r="J7" s="141" t="str">
        <x:v>Walk-in</x:v>
      </x:c>
    </x:row>
    <x:row r="8">
      <x:c r="A8" s="141" t="str">
        <x:v>TKT-0003</x:v>
      </x:c>
      <x:c r="B8" s="171" t="n">
        <x:v>46023</x:v>
      </x:c>
      <x:c r="C8" s="141" t="str">
        <x:v>Q1</x:v>
      </x:c>
      <x:c r="D8" s="141" t="str">
        <x:v>Leave correction</x:v>
      </x:c>
      <x:c r="E8" s="141" t="str">
        <x:v>Low</x:v>
      </x:c>
      <x:c r="F8" s="141" t="n">
        <x:v>8.5</x:v>
      </x:c>
      <x:c r="G8" s="141" t="n">
        <x:v>40</x:v>
      </x:c>
      <x:c r="H8" s="141" t="str">
        <x:v>Yes</x:v>
      </x:c>
      <x:c r="I8" s="141" t="n">
        <x:v>5</x:v>
      </x:c>
      <x:c r="J8" s="141" t="str">
        <x:v>Manager referral</x:v>
      </x:c>
    </x:row>
    <x:row r="9">
      <x:c r="A9" s="141" t="str">
        <x:v>TKT-0004</x:v>
      </x:c>
      <x:c r="B9" s="171" t="n">
        <x:v>46052</x:v>
      </x:c>
      <x:c r="C9" s="141" t="str">
        <x:v>Q1</x:v>
      </x:c>
      <x:c r="D9" s="141" t="str">
        <x:v>Employee letter</x:v>
      </x:c>
      <x:c r="E9" s="141" t="str">
        <x:v>Low</x:v>
      </x:c>
      <x:c r="F9" s="141" t="n">
        <x:v>75.8</x:v>
      </x:c>
      <x:c r="G9" s="141" t="n">
        <x:v>40</x:v>
      </x:c>
      <x:c r="H9" s="141" t="str">
        <x:v>No</x:v>
      </x:c>
      <x:c r="I9" s="141" t="n">
        <x:v>1</x:v>
      </x:c>
      <x:c r="J9" s="141" t="str">
        <x:v>Walk-in</x:v>
      </x:c>
    </x:row>
    <x:row r="10">
      <x:c r="A10" s="141" t="str">
        <x:v>TKT-0005</x:v>
      </x:c>
      <x:c r="B10" s="171" t="n">
        <x:v>46024</x:v>
      </x:c>
      <x:c r="C10" s="141" t="str">
        <x:v>Q1</x:v>
      </x:c>
      <x:c r="D10" s="141" t="str">
        <x:v>Grievance routing</x:v>
      </x:c>
      <x:c r="E10" s="141" t="str">
        <x:v>Medium</x:v>
      </x:c>
      <x:c r="F10" s="141" t="n">
        <x:v>57.9</x:v>
      </x:c>
      <x:c r="G10" s="141" t="n">
        <x:v>40</x:v>
      </x:c>
      <x:c r="H10" s="141" t="str">
        <x:v>No</x:v>
      </x:c>
      <x:c r="I10" s="141" t="n">
        <x:v>2</x:v>
      </x:c>
      <x:c r="J10" s="141" t="str">
        <x:v>Manager referral</x:v>
      </x:c>
    </x:row>
    <x:row r="11">
      <x:c r="A11" s="141" t="str">
        <x:v>TKT-0006</x:v>
      </x:c>
      <x:c r="B11" s="171" t="n">
        <x:v>46048</x:v>
      </x:c>
      <x:c r="C11" s="141" t="str">
        <x:v>Q1</x:v>
      </x:c>
      <x:c r="D11" s="141" t="str">
        <x:v>HRIS access</x:v>
      </x:c>
      <x:c r="E11" s="141" t="str">
        <x:v>High</x:v>
      </x:c>
      <x:c r="F11" s="141" t="n">
        <x:v>72.8</x:v>
      </x:c>
      <x:c r="G11" s="141" t="n">
        <x:v>40</x:v>
      </x:c>
      <x:c r="H11" s="141" t="str">
        <x:v>No</x:v>
      </x:c>
      <x:c r="I11" s="141" t="n">
        <x:v>2</x:v>
      </x:c>
      <x:c r="J11" s="141" t="str">
        <x:v>Manager referral</x:v>
      </x:c>
    </x:row>
    <x:row r="12">
      <x:c r="A12" s="141" t="str">
        <x:v>TKT-0007</x:v>
      </x:c>
      <x:c r="B12" s="171" t="n">
        <x:v>46028</x:v>
      </x:c>
      <x:c r="C12" s="141" t="str">
        <x:v>Q1</x:v>
      </x:c>
      <x:c r="D12" s="141" t="str">
        <x:v>HRIS access</x:v>
      </x:c>
      <x:c r="E12" s="141" t="str">
        <x:v>Low</x:v>
      </x:c>
      <x:c r="F12" s="141" t="n">
        <x:v>61.7</x:v>
      </x:c>
      <x:c r="G12" s="141" t="n">
        <x:v>40</x:v>
      </x:c>
      <x:c r="H12" s="141" t="str">
        <x:v>No</x:v>
      </x:c>
      <x:c r="I12" s="141" t="n">
        <x:v>1</x:v>
      </x:c>
      <x:c r="J12" s="141" t="str">
        <x:v>Email</x:v>
      </x:c>
    </x:row>
    <x:row r="13">
      <x:c r="A13" s="141" t="str">
        <x:v>TKT-0008</x:v>
      </x:c>
      <x:c r="B13" s="171" t="n">
        <x:v>46038</x:v>
      </x:c>
      <x:c r="C13" s="141" t="str">
        <x:v>Q1</x:v>
      </x:c>
      <x:c r="D13" s="141" t="str">
        <x:v>HRIS access</x:v>
      </x:c>
      <x:c r="E13" s="141" t="str">
        <x:v>Medium</x:v>
      </x:c>
      <x:c r="F13" s="141" t="n">
        <x:v>31</x:v>
      </x:c>
      <x:c r="G13" s="141" t="n">
        <x:v>40</x:v>
      </x:c>
      <x:c r="H13" s="141" t="str">
        <x:v>Yes</x:v>
      </x:c>
      <x:c r="I13" s="141" t="n">
        <x:v>5</x:v>
      </x:c>
      <x:c r="J13" s="141" t="str">
        <x:v>Email</x:v>
      </x:c>
    </x:row>
    <x:row r="14">
      <x:c r="A14" s="141" t="str">
        <x:v>TKT-0009</x:v>
      </x:c>
      <x:c r="B14" s="171" t="n">
        <x:v>46043</x:v>
      </x:c>
      <x:c r="C14" s="141" t="str">
        <x:v>Q1</x:v>
      </x:c>
      <x:c r="D14" s="141" t="str">
        <x:v>Grievance routing</x:v>
      </x:c>
      <x:c r="E14" s="141" t="str">
        <x:v>Medium</x:v>
      </x:c>
      <x:c r="F14" s="141" t="n">
        <x:v>4.6</x:v>
      </x:c>
      <x:c r="G14" s="141" t="n">
        <x:v>40</x:v>
      </x:c>
      <x:c r="H14" s="141" t="str">
        <x:v>Yes</x:v>
      </x:c>
      <x:c r="I14" s="141" t="n">
        <x:v>5</x:v>
      </x:c>
      <x:c r="J14" s="141" t="str">
        <x:v>HRIS</x:v>
      </x:c>
    </x:row>
    <x:row r="15">
      <x:c r="A15" s="141" t="str">
        <x:v>TKT-0010</x:v>
      </x:c>
      <x:c r="B15" s="171" t="n">
        <x:v>46038</x:v>
      </x:c>
      <x:c r="C15" s="141" t="str">
        <x:v>Q1</x:v>
      </x:c>
      <x:c r="D15" s="141" t="str">
        <x:v>Leave correction</x:v>
      </x:c>
      <x:c r="E15" s="141" t="str">
        <x:v>High</x:v>
      </x:c>
      <x:c r="F15" s="141" t="n">
        <x:v>36.6</x:v>
      </x:c>
      <x:c r="G15" s="141" t="n">
        <x:v>40</x:v>
      </x:c>
      <x:c r="H15" s="141" t="str">
        <x:v>Yes</x:v>
      </x:c>
      <x:c r="I15" s="141" t="n">
        <x:v>4</x:v>
      </x:c>
      <x:c r="J15" s="141" t="str">
        <x:v>Walk-in</x:v>
      </x:c>
    </x:row>
    <x:row r="16">
      <x:c r="A16" s="141" t="str">
        <x:v>TKT-0011</x:v>
      </x:c>
      <x:c r="B16" s="171" t="n">
        <x:v>46046</x:v>
      </x:c>
      <x:c r="C16" s="141" t="str">
        <x:v>Q1</x:v>
      </x:c>
      <x:c r="D16" s="141" t="str">
        <x:v>Benefit query</x:v>
      </x:c>
      <x:c r="E16" s="141" t="str">
        <x:v>Medium</x:v>
      </x:c>
      <x:c r="F16" s="141" t="n">
        <x:v>21</x:v>
      </x:c>
      <x:c r="G16" s="141" t="n">
        <x:v>40</x:v>
      </x:c>
      <x:c r="H16" s="141" t="str">
        <x:v>Yes</x:v>
      </x:c>
      <x:c r="I16" s="141" t="n">
        <x:v>4</x:v>
      </x:c>
      <x:c r="J16" s="141" t="str">
        <x:v>Email</x:v>
      </x:c>
    </x:row>
    <x:row r="17">
      <x:c r="A17" s="141" t="str">
        <x:v>TKT-0012</x:v>
      </x:c>
      <x:c r="B17" s="171" t="n">
        <x:v>46049</x:v>
      </x:c>
      <x:c r="C17" s="141" t="str">
        <x:v>Q1</x:v>
      </x:c>
      <x:c r="D17" s="141" t="str">
        <x:v>Grievance routing</x:v>
      </x:c>
      <x:c r="E17" s="141" t="str">
        <x:v>Medium</x:v>
      </x:c>
      <x:c r="F17" s="141" t="n">
        <x:v>20.8</x:v>
      </x:c>
      <x:c r="G17" s="141" t="n">
        <x:v>40</x:v>
      </x:c>
      <x:c r="H17" s="141" t="str">
        <x:v>Yes</x:v>
      </x:c>
      <x:c r="I17" s="141" t="n">
        <x:v>4</x:v>
      </x:c>
      <x:c r="J17" s="141" t="str">
        <x:v>Manager referral</x:v>
      </x:c>
    </x:row>
    <x:row r="18">
      <x:c r="A18" s="141" t="str">
        <x:v>TKT-0013</x:v>
      </x:c>
      <x:c r="B18" s="171" t="n">
        <x:v>46039</x:v>
      </x:c>
      <x:c r="C18" s="141" t="str">
        <x:v>Q1</x:v>
      </x:c>
      <x:c r="D18" s="141" t="str">
        <x:v>HRIS access</x:v>
      </x:c>
      <x:c r="E18" s="141" t="str">
        <x:v>High</x:v>
      </x:c>
      <x:c r="F18" s="141" t="n">
        <x:v>57.6</x:v>
      </x:c>
      <x:c r="G18" s="141" t="n">
        <x:v>40</x:v>
      </x:c>
      <x:c r="H18" s="141" t="str">
        <x:v>No</x:v>
      </x:c>
      <x:c r="I18" s="141" t="n">
        <x:v>1</x:v>
      </x:c>
      <x:c r="J18" s="141" t="str">
        <x:v>HRIS</x:v>
      </x:c>
    </x:row>
    <x:row r="19">
      <x:c r="A19" s="141" t="str">
        <x:v>TKT-0014</x:v>
      </x:c>
      <x:c r="B19" s="171" t="n">
        <x:v>46045</x:v>
      </x:c>
      <x:c r="C19" s="141" t="str">
        <x:v>Q1</x:v>
      </x:c>
      <x:c r="D19" s="141" t="str">
        <x:v>Leave correction</x:v>
      </x:c>
      <x:c r="E19" s="141" t="str">
        <x:v>Low</x:v>
      </x:c>
      <x:c r="F19" s="141" t="n">
        <x:v>24.7</x:v>
      </x:c>
      <x:c r="G19" s="141" t="n">
        <x:v>40</x:v>
      </x:c>
      <x:c r="H19" s="141" t="str">
        <x:v>Yes</x:v>
      </x:c>
      <x:c r="I19" s="141" t="n">
        <x:v>5</x:v>
      </x:c>
      <x:c r="J19" s="141" t="str">
        <x:v>Email</x:v>
      </x:c>
    </x:row>
    <x:row r="20">
      <x:c r="A20" s="141" t="str">
        <x:v>TKT-0015</x:v>
      </x:c>
      <x:c r="B20" s="171" t="n">
        <x:v>46042</x:v>
      </x:c>
      <x:c r="C20" s="141" t="str">
        <x:v>Q1</x:v>
      </x:c>
      <x:c r="D20" s="141" t="str">
        <x:v>Leave correction</x:v>
      </x:c>
      <x:c r="E20" s="141" t="str">
        <x:v>Medium</x:v>
      </x:c>
      <x:c r="F20" s="141" t="n">
        <x:v>10.1</x:v>
      </x:c>
      <x:c r="G20" s="141" t="n">
        <x:v>40</x:v>
      </x:c>
      <x:c r="H20" s="141" t="str">
        <x:v>Yes</x:v>
      </x:c>
      <x:c r="I20" s="141" t="n">
        <x:v>5</x:v>
      </x:c>
      <x:c r="J20" s="141" t="str">
        <x:v>Email</x:v>
      </x:c>
    </x:row>
    <x:row r="21">
      <x:c r="A21" s="141" t="str">
        <x:v>TKT-0016</x:v>
      </x:c>
      <x:c r="B21" s="171" t="n">
        <x:v>46030</x:v>
      </x:c>
      <x:c r="C21" s="141" t="str">
        <x:v>Q1</x:v>
      </x:c>
      <x:c r="D21" s="141" t="str">
        <x:v>Leave correction</x:v>
      </x:c>
      <x:c r="E21" s="141" t="str">
        <x:v>Medium</x:v>
      </x:c>
      <x:c r="F21" s="141" t="n">
        <x:v>32.8</x:v>
      </x:c>
      <x:c r="G21" s="141" t="n">
        <x:v>40</x:v>
      </x:c>
      <x:c r="H21" s="141" t="str">
        <x:v>Yes</x:v>
      </x:c>
      <x:c r="I21" s="141" t="n">
        <x:v>4</x:v>
      </x:c>
      <x:c r="J21" s="141" t="str">
        <x:v>Walk-in</x:v>
      </x:c>
    </x:row>
    <x:row r="22">
      <x:c r="A22" s="141" t="str">
        <x:v>TKT-0017</x:v>
      </x:c>
      <x:c r="B22" s="171" t="n">
        <x:v>46041</x:v>
      </x:c>
      <x:c r="C22" s="141" t="str">
        <x:v>Q1</x:v>
      </x:c>
      <x:c r="D22" s="141" t="str">
        <x:v>HRIS access</x:v>
      </x:c>
      <x:c r="E22" s="141" t="str">
        <x:v>Medium</x:v>
      </x:c>
      <x:c r="F22" s="141" t="n">
        <x:v>32.7</x:v>
      </x:c>
      <x:c r="G22" s="141" t="n">
        <x:v>40</x:v>
      </x:c>
      <x:c r="H22" s="141" t="str">
        <x:v>Yes</x:v>
      </x:c>
      <x:c r="I22" s="141" t="n">
        <x:v>5</x:v>
      </x:c>
      <x:c r="J22" s="141" t="str">
        <x:v>Walk-in</x:v>
      </x:c>
    </x:row>
    <x:row r="23">
      <x:c r="A23" s="141" t="str">
        <x:v>TKT-0018</x:v>
      </x:c>
      <x:c r="B23" s="171" t="n">
        <x:v>46047</x:v>
      </x:c>
      <x:c r="C23" s="141" t="str">
        <x:v>Q1</x:v>
      </x:c>
      <x:c r="D23" s="141" t="str">
        <x:v>Grievance routing</x:v>
      </x:c>
      <x:c r="E23" s="141" t="str">
        <x:v>Low</x:v>
      </x:c>
      <x:c r="F23" s="141" t="n">
        <x:v>30.3</x:v>
      </x:c>
      <x:c r="G23" s="141" t="n">
        <x:v>40</x:v>
      </x:c>
      <x:c r="H23" s="141" t="str">
        <x:v>Yes</x:v>
      </x:c>
      <x:c r="I23" s="141" t="n">
        <x:v>4</x:v>
      </x:c>
      <x:c r="J23" s="141" t="str">
        <x:v>Manager referral</x:v>
      </x:c>
    </x:row>
    <x:row r="24">
      <x:c r="A24" s="141" t="str">
        <x:v>TKT-0019</x:v>
      </x:c>
      <x:c r="B24" s="171" t="n">
        <x:v>46034</x:v>
      </x:c>
      <x:c r="C24" s="141" t="str">
        <x:v>Q1</x:v>
      </x:c>
      <x:c r="D24" s="141" t="str">
        <x:v>Grievance routing</x:v>
      </x:c>
      <x:c r="E24" s="141" t="str">
        <x:v>Low</x:v>
      </x:c>
      <x:c r="F24" s="141" t="n">
        <x:v>7.8</x:v>
      </x:c>
      <x:c r="G24" s="141" t="n">
        <x:v>40</x:v>
      </x:c>
      <x:c r="H24" s="141" t="str">
        <x:v>Yes</x:v>
      </x:c>
      <x:c r="I24" s="141" t="n">
        <x:v>5</x:v>
      </x:c>
      <x:c r="J24" s="141" t="str">
        <x:v>Manager referral</x:v>
      </x:c>
    </x:row>
    <x:row r="25">
      <x:c r="A25" s="141" t="str">
        <x:v>TKT-0020</x:v>
      </x:c>
      <x:c r="B25" s="171" t="n">
        <x:v>46053</x:v>
      </x:c>
      <x:c r="C25" s="141" t="str">
        <x:v>Q1</x:v>
      </x:c>
      <x:c r="D25" s="141" t="str">
        <x:v>Leave correction</x:v>
      </x:c>
      <x:c r="E25" s="141" t="str">
        <x:v>Medium</x:v>
      </x:c>
      <x:c r="F25" s="141" t="n">
        <x:v>39.3</x:v>
      </x:c>
      <x:c r="G25" s="141" t="n">
        <x:v>40</x:v>
      </x:c>
      <x:c r="H25" s="141" t="str">
        <x:v>Yes</x:v>
      </x:c>
      <x:c r="I25" s="141" t="n">
        <x:v>4</x:v>
      </x:c>
      <x:c r="J25" s="141" t="str">
        <x:v>Email</x:v>
      </x:c>
    </x:row>
    <x:row r="26">
      <x:c r="A26" s="141" t="str">
        <x:v>TKT-0021</x:v>
      </x:c>
      <x:c r="B26" s="171" t="n">
        <x:v>46029</x:v>
      </x:c>
      <x:c r="C26" s="141" t="str">
        <x:v>Q1</x:v>
      </x:c>
      <x:c r="D26" s="141" t="str">
        <x:v>Benefit query</x:v>
      </x:c>
      <x:c r="E26" s="141" t="str">
        <x:v>Low</x:v>
      </x:c>
      <x:c r="F26" s="141" t="n">
        <x:v>13.1</x:v>
      </x:c>
      <x:c r="G26" s="141" t="n">
        <x:v>40</x:v>
      </x:c>
      <x:c r="H26" s="141" t="str">
        <x:v>Yes</x:v>
      </x:c>
      <x:c r="I26" s="141" t="n">
        <x:v>5</x:v>
      </x:c>
      <x:c r="J26" s="141" t="str">
        <x:v>Email</x:v>
      </x:c>
    </x:row>
    <x:row r="27">
      <x:c r="A27" s="141" t="str">
        <x:v>TKT-0022</x:v>
      </x:c>
      <x:c r="B27" s="171" t="n">
        <x:v>46034</x:v>
      </x:c>
      <x:c r="C27" s="141" t="str">
        <x:v>Q1</x:v>
      </x:c>
      <x:c r="D27" s="141" t="str">
        <x:v>Grievance routing</x:v>
      </x:c>
      <x:c r="E27" s="141" t="str">
        <x:v>Low</x:v>
      </x:c>
      <x:c r="F27" s="141" t="n">
        <x:v>95.2</x:v>
      </x:c>
      <x:c r="G27" s="141" t="n">
        <x:v>40</x:v>
      </x:c>
      <x:c r="H27" s="141" t="str">
        <x:v>No</x:v>
      </x:c>
      <x:c r="I27" s="141" t="n">
        <x:v>1</x:v>
      </x:c>
      <x:c r="J27" s="141" t="str">
        <x:v>HRIS</x:v>
      </x:c>
    </x:row>
    <x:row r="28">
      <x:c r="A28" s="141" t="str">
        <x:v>TKT-0023</x:v>
      </x:c>
      <x:c r="B28" s="171" t="n">
        <x:v>46049</x:v>
      </x:c>
      <x:c r="C28" s="141" t="str">
        <x:v>Q1</x:v>
      </x:c>
      <x:c r="D28" s="141" t="str">
        <x:v>HRIS access</x:v>
      </x:c>
      <x:c r="E28" s="141" t="str">
        <x:v>Medium</x:v>
      </x:c>
      <x:c r="F28" s="141" t="n">
        <x:v>109.8</x:v>
      </x:c>
      <x:c r="G28" s="141" t="n">
        <x:v>40</x:v>
      </x:c>
      <x:c r="H28" s="141" t="str">
        <x:v>No</x:v>
      </x:c>
      <x:c r="I28" s="141" t="n">
        <x:v>2</x:v>
      </x:c>
      <x:c r="J28" s="141" t="str">
        <x:v>Manager referral</x:v>
      </x:c>
    </x:row>
    <x:row r="29">
      <x:c r="A29" s="141" t="str">
        <x:v>TKT-0024</x:v>
      </x:c>
      <x:c r="B29" s="171" t="n">
        <x:v>46046</x:v>
      </x:c>
      <x:c r="C29" s="141" t="str">
        <x:v>Q1</x:v>
      </x:c>
      <x:c r="D29" s="141" t="str">
        <x:v>Leave correction</x:v>
      </x:c>
      <x:c r="E29" s="141" t="str">
        <x:v>Low</x:v>
      </x:c>
      <x:c r="F29" s="141" t="n">
        <x:v>39.7</x:v>
      </x:c>
      <x:c r="G29" s="141" t="n">
        <x:v>40</x:v>
      </x:c>
      <x:c r="H29" s="141" t="str">
        <x:v>Yes</x:v>
      </x:c>
      <x:c r="I29" s="141" t="n">
        <x:v>4</x:v>
      </x:c>
      <x:c r="J29" s="141" t="str">
        <x:v>Manager referral</x:v>
      </x:c>
    </x:row>
    <x:row r="30">
      <x:c r="A30" s="141" t="str">
        <x:v>TKT-0025</x:v>
      </x:c>
      <x:c r="B30" s="171" t="n">
        <x:v>46030</x:v>
      </x:c>
      <x:c r="C30" s="141" t="str">
        <x:v>Q1</x:v>
      </x:c>
      <x:c r="D30" s="141" t="str">
        <x:v>Payroll query</x:v>
      </x:c>
      <x:c r="E30" s="141" t="str">
        <x:v>Medium</x:v>
      </x:c>
      <x:c r="F30" s="141" t="n">
        <x:v>60.3</x:v>
      </x:c>
      <x:c r="G30" s="141" t="n">
        <x:v>40</x:v>
      </x:c>
      <x:c r="H30" s="141" t="str">
        <x:v>No</x:v>
      </x:c>
      <x:c r="I30" s="141" t="n">
        <x:v>3</x:v>
      </x:c>
      <x:c r="J30" s="141" t="str">
        <x:v>Email</x:v>
      </x:c>
    </x:row>
    <x:row r="31">
      <x:c r="A31" s="141" t="str">
        <x:v>TKT-0026</x:v>
      </x:c>
      <x:c r="B31" s="171" t="n">
        <x:v>46039</x:v>
      </x:c>
      <x:c r="C31" s="141" t="str">
        <x:v>Q1</x:v>
      </x:c>
      <x:c r="D31" s="141" t="str">
        <x:v>HRIS access</x:v>
      </x:c>
      <x:c r="E31" s="141" t="str">
        <x:v>Low</x:v>
      </x:c>
      <x:c r="F31" s="141" t="n">
        <x:v>23.8</x:v>
      </x:c>
      <x:c r="G31" s="141" t="n">
        <x:v>40</x:v>
      </x:c>
      <x:c r="H31" s="141" t="str">
        <x:v>Yes</x:v>
      </x:c>
      <x:c r="I31" s="141" t="n">
        <x:v>5</x:v>
      </x:c>
      <x:c r="J31" s="141" t="str">
        <x:v>HRIS</x:v>
      </x:c>
    </x:row>
    <x:row r="32">
      <x:c r="A32" s="141" t="str">
        <x:v>TKT-0027</x:v>
      </x:c>
      <x:c r="B32" s="171" t="n">
        <x:v>46044</x:v>
      </x:c>
      <x:c r="C32" s="141" t="str">
        <x:v>Q1</x:v>
      </x:c>
      <x:c r="D32" s="141" t="str">
        <x:v>Grievance routing</x:v>
      </x:c>
      <x:c r="E32" s="141" t="str">
        <x:v>Medium</x:v>
      </x:c>
      <x:c r="F32" s="141" t="n">
        <x:v>77.5</x:v>
      </x:c>
      <x:c r="G32" s="141" t="n">
        <x:v>40</x:v>
      </x:c>
      <x:c r="H32" s="141" t="str">
        <x:v>No</x:v>
      </x:c>
      <x:c r="I32" s="141" t="n">
        <x:v>3</x:v>
      </x:c>
      <x:c r="J32" s="141" t="str">
        <x:v>Email</x:v>
      </x:c>
    </x:row>
    <x:row r="33">
      <x:c r="A33" s="141" t="str">
        <x:v>TKT-0028</x:v>
      </x:c>
      <x:c r="B33" s="171" t="n">
        <x:v>46045</x:v>
      </x:c>
      <x:c r="C33" s="141" t="str">
        <x:v>Q1</x:v>
      </x:c>
      <x:c r="D33" s="141" t="str">
        <x:v>Attendance correction</x:v>
      </x:c>
      <x:c r="E33" s="141" t="str">
        <x:v>Medium</x:v>
      </x:c>
      <x:c r="F33" s="141" t="n">
        <x:v>18.6</x:v>
      </x:c>
      <x:c r="G33" s="141" t="n">
        <x:v>40</x:v>
      </x:c>
      <x:c r="H33" s="141" t="str">
        <x:v>Yes</x:v>
      </x:c>
      <x:c r="I33" s="141" t="n">
        <x:v>4</x:v>
      </x:c>
      <x:c r="J33" s="141" t="str">
        <x:v>Manager referral</x:v>
      </x:c>
    </x:row>
    <x:row r="34">
      <x:c r="A34" s="141" t="str">
        <x:v>TKT-0029</x:v>
      </x:c>
      <x:c r="B34" s="171" t="n">
        <x:v>46027</x:v>
      </x:c>
      <x:c r="C34" s="141" t="str">
        <x:v>Q1</x:v>
      </x:c>
      <x:c r="D34" s="141" t="str">
        <x:v>Attendance correction</x:v>
      </x:c>
      <x:c r="E34" s="141" t="str">
        <x:v>Low</x:v>
      </x:c>
      <x:c r="F34" s="141" t="n">
        <x:v>14.3</x:v>
      </x:c>
      <x:c r="G34" s="141" t="n">
        <x:v>40</x:v>
      </x:c>
      <x:c r="H34" s="141" t="str">
        <x:v>Yes</x:v>
      </x:c>
      <x:c r="I34" s="141" t="n">
        <x:v>4</x:v>
      </x:c>
      <x:c r="J34" s="141" t="str">
        <x:v>Manager referral</x:v>
      </x:c>
    </x:row>
    <x:row r="35">
      <x:c r="A35" s="141" t="str">
        <x:v>TKT-0030</x:v>
      </x:c>
      <x:c r="B35" s="171" t="n">
        <x:v>46023</x:v>
      </x:c>
      <x:c r="C35" s="141" t="str">
        <x:v>Q1</x:v>
      </x:c>
      <x:c r="D35" s="141" t="str">
        <x:v>Attendance correction</x:v>
      </x:c>
      <x:c r="E35" s="141" t="str">
        <x:v>Medium</x:v>
      </x:c>
      <x:c r="F35" s="141" t="n">
        <x:v>16.2</x:v>
      </x:c>
      <x:c r="G35" s="141" t="n">
        <x:v>40</x:v>
      </x:c>
      <x:c r="H35" s="141" t="str">
        <x:v>Yes</x:v>
      </x:c>
      <x:c r="I35" s="141" t="n">
        <x:v>5</x:v>
      </x:c>
      <x:c r="J35" s="141" t="str">
        <x:v>Walk-in</x:v>
      </x:c>
    </x:row>
    <x:row r="36">
      <x:c r="A36" s="141" t="str">
        <x:v>TKT-0031</x:v>
      </x:c>
      <x:c r="B36" s="171" t="n">
        <x:v>46048</x:v>
      </x:c>
      <x:c r="C36" s="141" t="str">
        <x:v>Q1</x:v>
      </x:c>
      <x:c r="D36" s="141" t="str">
        <x:v>Employee letter</x:v>
      </x:c>
      <x:c r="E36" s="141" t="str">
        <x:v>Low</x:v>
      </x:c>
      <x:c r="F36" s="141" t="n">
        <x:v>79.2</x:v>
      </x:c>
      <x:c r="G36" s="141" t="n">
        <x:v>40</x:v>
      </x:c>
      <x:c r="H36" s="141" t="str">
        <x:v>No</x:v>
      </x:c>
      <x:c r="I36" s="141" t="n">
        <x:v>1</x:v>
      </x:c>
      <x:c r="J36" s="141" t="str">
        <x:v>HRIS</x:v>
      </x:c>
    </x:row>
    <x:row r="37">
      <x:c r="A37" s="141" t="str">
        <x:v>TKT-0032</x:v>
      </x:c>
      <x:c r="B37" s="171" t="n">
        <x:v>46049</x:v>
      </x:c>
      <x:c r="C37" s="141" t="str">
        <x:v>Q1</x:v>
      </x:c>
      <x:c r="D37" s="141" t="str">
        <x:v>Leave correction</x:v>
      </x:c>
      <x:c r="E37" s="141" t="str">
        <x:v>Medium</x:v>
      </x:c>
      <x:c r="F37" s="141" t="n">
        <x:v>36</x:v>
      </x:c>
      <x:c r="G37" s="141" t="n">
        <x:v>40</x:v>
      </x:c>
      <x:c r="H37" s="141" t="str">
        <x:v>Yes</x:v>
      </x:c>
      <x:c r="I37" s="141" t="n">
        <x:v>5</x:v>
      </x:c>
      <x:c r="J37" s="141" t="str">
        <x:v>Manager referral</x:v>
      </x:c>
    </x:row>
    <x:row r="38">
      <x:c r="A38" s="141" t="str">
        <x:v>TKT-0033</x:v>
      </x:c>
      <x:c r="B38" s="171" t="n">
        <x:v>46033</x:v>
      </x:c>
      <x:c r="C38" s="141" t="str">
        <x:v>Q1</x:v>
      </x:c>
      <x:c r="D38" s="141" t="str">
        <x:v>HRIS access</x:v>
      </x:c>
      <x:c r="E38" s="141" t="str">
        <x:v>Low</x:v>
      </x:c>
      <x:c r="F38" s="141" t="n">
        <x:v>19.8</x:v>
      </x:c>
      <x:c r="G38" s="141" t="n">
        <x:v>40</x:v>
      </x:c>
      <x:c r="H38" s="141" t="str">
        <x:v>Yes</x:v>
      </x:c>
      <x:c r="I38" s="141" t="n">
        <x:v>4</x:v>
      </x:c>
      <x:c r="J38" s="141" t="str">
        <x:v>Manager referral</x:v>
      </x:c>
    </x:row>
    <x:row r="39">
      <x:c r="A39" s="141" t="str">
        <x:v>TKT-0034</x:v>
      </x:c>
      <x:c r="B39" s="171" t="n">
        <x:v>46025</x:v>
      </x:c>
      <x:c r="C39" s="141" t="str">
        <x:v>Q1</x:v>
      </x:c>
      <x:c r="D39" s="141" t="str">
        <x:v>Benefit query</x:v>
      </x:c>
      <x:c r="E39" s="141" t="str">
        <x:v>High</x:v>
      </x:c>
      <x:c r="F39" s="141" t="n">
        <x:v>85.8</x:v>
      </x:c>
      <x:c r="G39" s="141" t="n">
        <x:v>40</x:v>
      </x:c>
      <x:c r="H39" s="141" t="str">
        <x:v>No</x:v>
      </x:c>
      <x:c r="I39" s="141" t="n">
        <x:v>3</x:v>
      </x:c>
      <x:c r="J39" s="141" t="str">
        <x:v>Walk-in</x:v>
      </x:c>
    </x:row>
    <x:row r="40">
      <x:c r="A40" s="141" t="str">
        <x:v>TKT-0035</x:v>
      </x:c>
      <x:c r="B40" s="171" t="n">
        <x:v>46039</x:v>
      </x:c>
      <x:c r="C40" s="141" t="str">
        <x:v>Q1</x:v>
      </x:c>
      <x:c r="D40" s="141" t="str">
        <x:v>Employee letter</x:v>
      </x:c>
      <x:c r="E40" s="141" t="str">
        <x:v>High</x:v>
      </x:c>
      <x:c r="F40" s="141" t="n">
        <x:v>43.5</x:v>
      </x:c>
      <x:c r="G40" s="141" t="n">
        <x:v>40</x:v>
      </x:c>
      <x:c r="H40" s="141" t="str">
        <x:v>No</x:v>
      </x:c>
      <x:c r="I40" s="141" t="n">
        <x:v>3</x:v>
      </x:c>
      <x:c r="J40" s="141" t="str">
        <x:v>Manager referral</x:v>
      </x:c>
    </x:row>
    <x:row r="41">
      <x:c r="A41" s="141" t="str">
        <x:v>TKT-0036</x:v>
      </x:c>
      <x:c r="B41" s="171" t="n">
        <x:v>46064</x:v>
      </x:c>
      <x:c r="C41" s="141" t="str">
        <x:v>Q1</x:v>
      </x:c>
      <x:c r="D41" s="141" t="str">
        <x:v>Attendance correction</x:v>
      </x:c>
      <x:c r="E41" s="141" t="str">
        <x:v>Medium</x:v>
      </x:c>
      <x:c r="F41" s="141" t="n">
        <x:v>12.7</x:v>
      </x:c>
      <x:c r="G41" s="141" t="n">
        <x:v>40</x:v>
      </x:c>
      <x:c r="H41" s="141" t="str">
        <x:v>Yes</x:v>
      </x:c>
      <x:c r="I41" s="141" t="n">
        <x:v>4</x:v>
      </x:c>
      <x:c r="J41" s="141" t="str">
        <x:v>Email</x:v>
      </x:c>
    </x:row>
    <x:row r="42">
      <x:c r="A42" s="141" t="str">
        <x:v>TKT-0037</x:v>
      </x:c>
      <x:c r="B42" s="171" t="n">
        <x:v>46071</x:v>
      </x:c>
      <x:c r="C42" s="141" t="str">
        <x:v>Q1</x:v>
      </x:c>
      <x:c r="D42" s="141" t="str">
        <x:v>Leave correction</x:v>
      </x:c>
      <x:c r="E42" s="141" t="str">
        <x:v>Medium</x:v>
      </x:c>
      <x:c r="F42" s="141" t="n">
        <x:v>43.1</x:v>
      </x:c>
      <x:c r="G42" s="141" t="n">
        <x:v>40</x:v>
      </x:c>
      <x:c r="H42" s="141" t="str">
        <x:v>No</x:v>
      </x:c>
      <x:c r="I42" s="141" t="n">
        <x:v>1</x:v>
      </x:c>
      <x:c r="J42" s="141" t="str">
        <x:v>Email</x:v>
      </x:c>
    </x:row>
    <x:row r="43">
      <x:c r="A43" s="141" t="str">
        <x:v>TKT-0038</x:v>
      </x:c>
      <x:c r="B43" s="171" t="n">
        <x:v>46073</x:v>
      </x:c>
      <x:c r="C43" s="141" t="str">
        <x:v>Q1</x:v>
      </x:c>
      <x:c r="D43" s="141" t="str">
        <x:v>HRIS access</x:v>
      </x:c>
      <x:c r="E43" s="141" t="str">
        <x:v>Medium</x:v>
      </x:c>
      <x:c r="F43" s="141" t="n">
        <x:v>32.4</x:v>
      </x:c>
      <x:c r="G43" s="141" t="n">
        <x:v>40</x:v>
      </x:c>
      <x:c r="H43" s="141" t="str">
        <x:v>Yes</x:v>
      </x:c>
      <x:c r="I43" s="141" t="n">
        <x:v>5</x:v>
      </x:c>
      <x:c r="J43" s="141" t="str">
        <x:v>Manager referral</x:v>
      </x:c>
    </x:row>
    <x:row r="44">
      <x:c r="A44" s="141" t="str">
        <x:v>TKT-0039</x:v>
      </x:c>
      <x:c r="B44" s="171" t="n">
        <x:v>46077</x:v>
      </x:c>
      <x:c r="C44" s="141" t="str">
        <x:v>Q1</x:v>
      </x:c>
      <x:c r="D44" s="141" t="str">
        <x:v>Benefit query</x:v>
      </x:c>
      <x:c r="E44" s="141" t="str">
        <x:v>Low</x:v>
      </x:c>
      <x:c r="F44" s="141" t="n">
        <x:v>73.9</x:v>
      </x:c>
      <x:c r="G44" s="141" t="n">
        <x:v>40</x:v>
      </x:c>
      <x:c r="H44" s="141" t="str">
        <x:v>No</x:v>
      </x:c>
      <x:c r="I44" s="141" t="n">
        <x:v>2</x:v>
      </x:c>
      <x:c r="J44" s="141" t="str">
        <x:v>Manager referral</x:v>
      </x:c>
    </x:row>
    <x:row r="45">
      <x:c r="A45" s="141" t="str">
        <x:v>TKT-0040</x:v>
      </x:c>
      <x:c r="B45" s="171" t="n">
        <x:v>46055</x:v>
      </x:c>
      <x:c r="C45" s="141" t="str">
        <x:v>Q1</x:v>
      </x:c>
      <x:c r="D45" s="141" t="str">
        <x:v>Benefit query</x:v>
      </x:c>
      <x:c r="E45" s="141" t="str">
        <x:v>High</x:v>
      </x:c>
      <x:c r="F45" s="141" t="n">
        <x:v>10</x:v>
      </x:c>
      <x:c r="G45" s="141" t="n">
        <x:v>40</x:v>
      </x:c>
      <x:c r="H45" s="141" t="str">
        <x:v>Yes</x:v>
      </x:c>
      <x:c r="I45" s="141" t="n">
        <x:v>5</x:v>
      </x:c>
      <x:c r="J45" s="141" t="str">
        <x:v>HRIS</x:v>
      </x:c>
    </x:row>
    <x:row r="46">
      <x:c r="A46" s="141" t="str">
        <x:v>TKT-0041</x:v>
      </x:c>
      <x:c r="B46" s="171" t="n">
        <x:v>46065</x:v>
      </x:c>
      <x:c r="C46" s="141" t="str">
        <x:v>Q1</x:v>
      </x:c>
      <x:c r="D46" s="141" t="str">
        <x:v>Payroll query</x:v>
      </x:c>
      <x:c r="E46" s="141" t="str">
        <x:v>Medium</x:v>
      </x:c>
      <x:c r="F46" s="141" t="n">
        <x:v>60.1</x:v>
      </x:c>
      <x:c r="G46" s="141" t="n">
        <x:v>40</x:v>
      </x:c>
      <x:c r="H46" s="141" t="str">
        <x:v>No</x:v>
      </x:c>
      <x:c r="I46" s="141" t="n">
        <x:v>1</x:v>
      </x:c>
      <x:c r="J46" s="141" t="str">
        <x:v>Manager referral</x:v>
      </x:c>
    </x:row>
    <x:row r="47">
      <x:c r="A47" s="141" t="str">
        <x:v>TKT-0042</x:v>
      </x:c>
      <x:c r="B47" s="171" t="n">
        <x:v>46056</x:v>
      </x:c>
      <x:c r="C47" s="141" t="str">
        <x:v>Q1</x:v>
      </x:c>
      <x:c r="D47" s="141" t="str">
        <x:v>Payroll query</x:v>
      </x:c>
      <x:c r="E47" s="141" t="str">
        <x:v>Medium</x:v>
      </x:c>
      <x:c r="F47" s="141" t="n">
        <x:v>73.8</x:v>
      </x:c>
      <x:c r="G47" s="141" t="n">
        <x:v>40</x:v>
      </x:c>
      <x:c r="H47" s="141" t="str">
        <x:v>No</x:v>
      </x:c>
      <x:c r="I47" s="141" t="n">
        <x:v>2</x:v>
      </x:c>
      <x:c r="J47" s="141" t="str">
        <x:v>HRIS</x:v>
      </x:c>
    </x:row>
    <x:row r="48">
      <x:c r="A48" s="141" t="str">
        <x:v>TKT-0043</x:v>
      </x:c>
      <x:c r="B48" s="171" t="n">
        <x:v>46077</x:v>
      </x:c>
      <x:c r="C48" s="141" t="str">
        <x:v>Q1</x:v>
      </x:c>
      <x:c r="D48" s="141" t="str">
        <x:v>Benefit query</x:v>
      </x:c>
      <x:c r="E48" s="141" t="str">
        <x:v>Medium</x:v>
      </x:c>
      <x:c r="F48" s="141" t="n">
        <x:v>45.8</x:v>
      </x:c>
      <x:c r="G48" s="141" t="n">
        <x:v>40</x:v>
      </x:c>
      <x:c r="H48" s="141" t="str">
        <x:v>No</x:v>
      </x:c>
      <x:c r="I48" s="141" t="n">
        <x:v>2</x:v>
      </x:c>
      <x:c r="J48" s="141" t="str">
        <x:v>Email</x:v>
      </x:c>
    </x:row>
    <x:row r="49">
      <x:c r="A49" s="141" t="str">
        <x:v>TKT-0044</x:v>
      </x:c>
      <x:c r="B49" s="171" t="n">
        <x:v>46075</x:v>
      </x:c>
      <x:c r="C49" s="141" t="str">
        <x:v>Q1</x:v>
      </x:c>
      <x:c r="D49" s="141" t="str">
        <x:v>Grievance routing</x:v>
      </x:c>
      <x:c r="E49" s="141" t="str">
        <x:v>Low</x:v>
      </x:c>
      <x:c r="F49" s="141" t="n">
        <x:v>37.2</x:v>
      </x:c>
      <x:c r="G49" s="141" t="n">
        <x:v>40</x:v>
      </x:c>
      <x:c r="H49" s="141" t="str">
        <x:v>Yes</x:v>
      </x:c>
      <x:c r="I49" s="141" t="n">
        <x:v>4</x:v>
      </x:c>
      <x:c r="J49" s="141" t="str">
        <x:v>Email</x:v>
      </x:c>
    </x:row>
    <x:row r="50">
      <x:c r="A50" s="141" t="str">
        <x:v>TKT-0045</x:v>
      </x:c>
      <x:c r="B50" s="171" t="n">
        <x:v>46080</x:v>
      </x:c>
      <x:c r="C50" s="141" t="str">
        <x:v>Q1</x:v>
      </x:c>
      <x:c r="D50" s="141" t="str">
        <x:v>Leave correction</x:v>
      </x:c>
      <x:c r="E50" s="141" t="str">
        <x:v>Medium</x:v>
      </x:c>
      <x:c r="F50" s="141" t="n">
        <x:v>32.2</x:v>
      </x:c>
      <x:c r="G50" s="141" t="n">
        <x:v>40</x:v>
      </x:c>
      <x:c r="H50" s="141" t="str">
        <x:v>Yes</x:v>
      </x:c>
      <x:c r="I50" s="141" t="n">
        <x:v>5</x:v>
      </x:c>
      <x:c r="J50" s="141" t="str">
        <x:v>Walk-in</x:v>
      </x:c>
    </x:row>
    <x:row r="51">
      <x:c r="A51" s="141" t="str">
        <x:v>TKT-0046</x:v>
      </x:c>
      <x:c r="B51" s="171" t="n">
        <x:v>46081</x:v>
      </x:c>
      <x:c r="C51" s="141" t="str">
        <x:v>Q1</x:v>
      </x:c>
      <x:c r="D51" s="141" t="str">
        <x:v>Employee letter</x:v>
      </x:c>
      <x:c r="E51" s="141" t="str">
        <x:v>High</x:v>
      </x:c>
      <x:c r="F51" s="141" t="n">
        <x:v>13.5</x:v>
      </x:c>
      <x:c r="G51" s="141" t="n">
        <x:v>40</x:v>
      </x:c>
      <x:c r="H51" s="141" t="str">
        <x:v>Yes</x:v>
      </x:c>
      <x:c r="I51" s="141" t="n">
        <x:v>4</x:v>
      </x:c>
      <x:c r="J51" s="141" t="str">
        <x:v>Manager referral</x:v>
      </x:c>
    </x:row>
    <x:row r="52">
      <x:c r="A52" s="141" t="str">
        <x:v>TKT-0047</x:v>
      </x:c>
      <x:c r="B52" s="171" t="n">
        <x:v>46068</x:v>
      </x:c>
      <x:c r="C52" s="141" t="str">
        <x:v>Q1</x:v>
      </x:c>
      <x:c r="D52" s="141" t="str">
        <x:v>Grievance routing</x:v>
      </x:c>
      <x:c r="E52" s="141" t="str">
        <x:v>Low</x:v>
      </x:c>
      <x:c r="F52" s="141" t="n">
        <x:v>25</x:v>
      </x:c>
      <x:c r="G52" s="141" t="n">
        <x:v>40</x:v>
      </x:c>
      <x:c r="H52" s="141" t="str">
        <x:v>Yes</x:v>
      </x:c>
      <x:c r="I52" s="141" t="n">
        <x:v>5</x:v>
      </x:c>
      <x:c r="J52" s="141" t="str">
        <x:v>Email</x:v>
      </x:c>
    </x:row>
    <x:row r="53">
      <x:c r="A53" s="141" t="str">
        <x:v>TKT-0048</x:v>
      </x:c>
      <x:c r="B53" s="171" t="n">
        <x:v>46078</x:v>
      </x:c>
      <x:c r="C53" s="141" t="str">
        <x:v>Q1</x:v>
      </x:c>
      <x:c r="D53" s="141" t="str">
        <x:v>Employee letter</x:v>
      </x:c>
      <x:c r="E53" s="141" t="str">
        <x:v>Low</x:v>
      </x:c>
      <x:c r="F53" s="141" t="n">
        <x:v>33.6</x:v>
      </x:c>
      <x:c r="G53" s="141" t="n">
        <x:v>40</x:v>
      </x:c>
      <x:c r="H53" s="141" t="str">
        <x:v>Yes</x:v>
      </x:c>
      <x:c r="I53" s="141" t="n">
        <x:v>5</x:v>
      </x:c>
      <x:c r="J53" s="141" t="str">
        <x:v>Walk-in</x:v>
      </x:c>
    </x:row>
    <x:row r="54">
      <x:c r="A54" s="141" t="str">
        <x:v>TKT-0049</x:v>
      </x:c>
      <x:c r="B54" s="171" t="n">
        <x:v>46070</x:v>
      </x:c>
      <x:c r="C54" s="141" t="str">
        <x:v>Q1</x:v>
      </x:c>
      <x:c r="D54" s="141" t="str">
        <x:v>Grievance routing</x:v>
      </x:c>
      <x:c r="E54" s="141" t="str">
        <x:v>Medium</x:v>
      </x:c>
      <x:c r="F54" s="141" t="n">
        <x:v>7.8</x:v>
      </x:c>
      <x:c r="G54" s="141" t="n">
        <x:v>40</x:v>
      </x:c>
      <x:c r="H54" s="141" t="str">
        <x:v>Yes</x:v>
      </x:c>
      <x:c r="I54" s="141" t="n">
        <x:v>4</x:v>
      </x:c>
      <x:c r="J54" s="141" t="str">
        <x:v>Walk-in</x:v>
      </x:c>
    </x:row>
    <x:row r="55">
      <x:c r="A55" s="141" t="str">
        <x:v>TKT-0050</x:v>
      </x:c>
      <x:c r="B55" s="171" t="n">
        <x:v>46059</x:v>
      </x:c>
      <x:c r="C55" s="141" t="str">
        <x:v>Q1</x:v>
      </x:c>
      <x:c r="D55" s="141" t="str">
        <x:v>Benefit query</x:v>
      </x:c>
      <x:c r="E55" s="141" t="str">
        <x:v>Medium</x:v>
      </x:c>
      <x:c r="F55" s="141" t="n">
        <x:v>14.8</x:v>
      </x:c>
      <x:c r="G55" s="141" t="n">
        <x:v>40</x:v>
      </x:c>
      <x:c r="H55" s="141" t="str">
        <x:v>Yes</x:v>
      </x:c>
      <x:c r="I55" s="141" t="n">
        <x:v>5</x:v>
      </x:c>
      <x:c r="J55" s="141" t="str">
        <x:v>Manager referral</x:v>
      </x:c>
    </x:row>
    <x:row r="56">
      <x:c r="A56" s="141" t="str">
        <x:v>TKT-0051</x:v>
      </x:c>
      <x:c r="B56" s="171" t="n">
        <x:v>46065</x:v>
      </x:c>
      <x:c r="C56" s="141" t="str">
        <x:v>Q1</x:v>
      </x:c>
      <x:c r="D56" s="141" t="str">
        <x:v>Grievance routing</x:v>
      </x:c>
      <x:c r="E56" s="141" t="str">
        <x:v>High</x:v>
      </x:c>
      <x:c r="F56" s="141" t="n">
        <x:v>6.8</x:v>
      </x:c>
      <x:c r="G56" s="141" t="n">
        <x:v>40</x:v>
      </x:c>
      <x:c r="H56" s="141" t="str">
        <x:v>Yes</x:v>
      </x:c>
      <x:c r="I56" s="141" t="n">
        <x:v>4</x:v>
      </x:c>
      <x:c r="J56" s="141" t="str">
        <x:v>HRIS</x:v>
      </x:c>
    </x:row>
    <x:row r="57">
      <x:c r="A57" s="141" t="str">
        <x:v>TKT-0052</x:v>
      </x:c>
      <x:c r="B57" s="171" t="n">
        <x:v>46068</x:v>
      </x:c>
      <x:c r="C57" s="141" t="str">
        <x:v>Q1</x:v>
      </x:c>
      <x:c r="D57" s="141" t="str">
        <x:v>Attendance correction</x:v>
      </x:c>
      <x:c r="E57" s="141" t="str">
        <x:v>Low</x:v>
      </x:c>
      <x:c r="F57" s="141" t="n">
        <x:v>49.4</x:v>
      </x:c>
      <x:c r="G57" s="141" t="n">
        <x:v>40</x:v>
      </x:c>
      <x:c r="H57" s="141" t="str">
        <x:v>No</x:v>
      </x:c>
      <x:c r="I57" s="141" t="n">
        <x:v>3</x:v>
      </x:c>
      <x:c r="J57" s="141" t="str">
        <x:v>Walk-in</x:v>
      </x:c>
    </x:row>
    <x:row r="58">
      <x:c r="A58" s="141" t="str">
        <x:v>TKT-0053</x:v>
      </x:c>
      <x:c r="B58" s="171" t="n">
        <x:v>46064</x:v>
      </x:c>
      <x:c r="C58" s="141" t="str">
        <x:v>Q1</x:v>
      </x:c>
      <x:c r="D58" s="141" t="str">
        <x:v>Payroll query</x:v>
      </x:c>
      <x:c r="E58" s="141" t="str">
        <x:v>High</x:v>
      </x:c>
      <x:c r="F58" s="141" t="n">
        <x:v>45.3</x:v>
      </x:c>
      <x:c r="G58" s="141" t="n">
        <x:v>40</x:v>
      </x:c>
      <x:c r="H58" s="141" t="str">
        <x:v>No</x:v>
      </x:c>
      <x:c r="I58" s="141" t="n">
        <x:v>2</x:v>
      </x:c>
      <x:c r="J58" s="141" t="str">
        <x:v>HRIS</x:v>
      </x:c>
    </x:row>
    <x:row r="59">
      <x:c r="A59" s="141" t="str">
        <x:v>TKT-0054</x:v>
      </x:c>
      <x:c r="B59" s="171" t="n">
        <x:v>46071</x:v>
      </x:c>
      <x:c r="C59" s="141" t="str">
        <x:v>Q1</x:v>
      </x:c>
      <x:c r="D59" s="141" t="str">
        <x:v>Employee letter</x:v>
      </x:c>
      <x:c r="E59" s="141" t="str">
        <x:v>Low</x:v>
      </x:c>
      <x:c r="F59" s="141" t="n">
        <x:v>38.6</x:v>
      </x:c>
      <x:c r="G59" s="141" t="n">
        <x:v>40</x:v>
      </x:c>
      <x:c r="H59" s="141" t="str">
        <x:v>Yes</x:v>
      </x:c>
      <x:c r="I59" s="141" t="n">
        <x:v>5</x:v>
      </x:c>
      <x:c r="J59" s="141" t="str">
        <x:v>Email</x:v>
      </x:c>
    </x:row>
    <x:row r="60">
      <x:c r="A60" s="141" t="str">
        <x:v>TKT-0055</x:v>
      </x:c>
      <x:c r="B60" s="171" t="n">
        <x:v>46078</x:v>
      </x:c>
      <x:c r="C60" s="141" t="str">
        <x:v>Q1</x:v>
      </x:c>
      <x:c r="D60" s="141" t="str">
        <x:v>Grievance routing</x:v>
      </x:c>
      <x:c r="E60" s="141" t="str">
        <x:v>Medium</x:v>
      </x:c>
      <x:c r="F60" s="141" t="n">
        <x:v>38.8</x:v>
      </x:c>
      <x:c r="G60" s="141" t="n">
        <x:v>40</x:v>
      </x:c>
      <x:c r="H60" s="141" t="str">
        <x:v>Yes</x:v>
      </x:c>
      <x:c r="I60" s="141" t="n">
        <x:v>5</x:v>
      </x:c>
      <x:c r="J60" s="141" t="str">
        <x:v>Email</x:v>
      </x:c>
    </x:row>
    <x:row r="61">
      <x:c r="A61" s="141" t="str">
        <x:v>TKT-0056</x:v>
      </x:c>
      <x:c r="B61" s="171" t="n">
        <x:v>46077</x:v>
      </x:c>
      <x:c r="C61" s="141" t="str">
        <x:v>Q1</x:v>
      </x:c>
      <x:c r="D61" s="141" t="str">
        <x:v>Leave correction</x:v>
      </x:c>
      <x:c r="E61" s="141" t="str">
        <x:v>Low</x:v>
      </x:c>
      <x:c r="F61" s="141" t="n">
        <x:v>17.1</x:v>
      </x:c>
      <x:c r="G61" s="141" t="n">
        <x:v>40</x:v>
      </x:c>
      <x:c r="H61" s="141" t="str">
        <x:v>Yes</x:v>
      </x:c>
      <x:c r="I61" s="141" t="n">
        <x:v>4</x:v>
      </x:c>
      <x:c r="J61" s="141" t="str">
        <x:v>Manager referral</x:v>
      </x:c>
    </x:row>
    <x:row r="62">
      <x:c r="A62" s="141" t="str">
        <x:v>TKT-0057</x:v>
      </x:c>
      <x:c r="B62" s="171" t="n">
        <x:v>46079</x:v>
      </x:c>
      <x:c r="C62" s="141" t="str">
        <x:v>Q1</x:v>
      </x:c>
      <x:c r="D62" s="141" t="str">
        <x:v>Attendance correction</x:v>
      </x:c>
      <x:c r="E62" s="141" t="str">
        <x:v>Medium</x:v>
      </x:c>
      <x:c r="F62" s="141" t="n">
        <x:v>17.2</x:v>
      </x:c>
      <x:c r="G62" s="141" t="n">
        <x:v>40</x:v>
      </x:c>
      <x:c r="H62" s="141" t="str">
        <x:v>Yes</x:v>
      </x:c>
      <x:c r="I62" s="141" t="n">
        <x:v>5</x:v>
      </x:c>
      <x:c r="J62" s="141" t="str">
        <x:v>HRIS</x:v>
      </x:c>
    </x:row>
    <x:row r="63">
      <x:c r="A63" s="141" t="str">
        <x:v>TKT-0058</x:v>
      </x:c>
      <x:c r="B63" s="171" t="n">
        <x:v>46079</x:v>
      </x:c>
      <x:c r="C63" s="141" t="str">
        <x:v>Q1</x:v>
      </x:c>
      <x:c r="D63" s="141" t="str">
        <x:v>Employee letter</x:v>
      </x:c>
      <x:c r="E63" s="141" t="str">
        <x:v>Low</x:v>
      </x:c>
      <x:c r="F63" s="141" t="n">
        <x:v>21.2</x:v>
      </x:c>
      <x:c r="G63" s="141" t="n">
        <x:v>40</x:v>
      </x:c>
      <x:c r="H63" s="141" t="str">
        <x:v>Yes</x:v>
      </x:c>
      <x:c r="I63" s="141" t="n">
        <x:v>4</x:v>
      </x:c>
      <x:c r="J63" s="141" t="str">
        <x:v>Manager referral</x:v>
      </x:c>
    </x:row>
    <x:row r="64">
      <x:c r="A64" s="141" t="str">
        <x:v>TKT-0059</x:v>
      </x:c>
      <x:c r="B64" s="171" t="n">
        <x:v>46059</x:v>
      </x:c>
      <x:c r="C64" s="141" t="str">
        <x:v>Q1</x:v>
      </x:c>
      <x:c r="D64" s="141" t="str">
        <x:v>Grievance routing</x:v>
      </x:c>
      <x:c r="E64" s="141" t="str">
        <x:v>High</x:v>
      </x:c>
      <x:c r="F64" s="141" t="n">
        <x:v>95.4</x:v>
      </x:c>
      <x:c r="G64" s="141" t="n">
        <x:v>40</x:v>
      </x:c>
      <x:c r="H64" s="141" t="str">
        <x:v>No</x:v>
      </x:c>
      <x:c r="I64" s="141" t="n">
        <x:v>2</x:v>
      </x:c>
      <x:c r="J64" s="141" t="str">
        <x:v>Email</x:v>
      </x:c>
    </x:row>
    <x:row r="65">
      <x:c r="A65" s="141" t="str">
        <x:v>TKT-0060</x:v>
      </x:c>
      <x:c r="B65" s="171" t="n">
        <x:v>46062</x:v>
      </x:c>
      <x:c r="C65" s="141" t="str">
        <x:v>Q1</x:v>
      </x:c>
      <x:c r="D65" s="141" t="str">
        <x:v>Benefit query</x:v>
      </x:c>
      <x:c r="E65" s="141" t="str">
        <x:v>Low</x:v>
      </x:c>
      <x:c r="F65" s="141" t="n">
        <x:v>37.8</x:v>
      </x:c>
      <x:c r="G65" s="141" t="n">
        <x:v>40</x:v>
      </x:c>
      <x:c r="H65" s="141" t="str">
        <x:v>Yes</x:v>
      </x:c>
      <x:c r="I65" s="141" t="n">
        <x:v>4</x:v>
      </x:c>
      <x:c r="J65" s="141" t="str">
        <x:v>HRIS</x:v>
      </x:c>
    </x:row>
    <x:row r="66">
      <x:c r="A66" s="141" t="str">
        <x:v>TKT-0061</x:v>
      </x:c>
      <x:c r="B66" s="171" t="n">
        <x:v>46058</x:v>
      </x:c>
      <x:c r="C66" s="141" t="str">
        <x:v>Q1</x:v>
      </x:c>
      <x:c r="D66" s="141" t="str">
        <x:v>Employee letter</x:v>
      </x:c>
      <x:c r="E66" s="141" t="str">
        <x:v>Low</x:v>
      </x:c>
      <x:c r="F66" s="141" t="n">
        <x:v>8.3</x:v>
      </x:c>
      <x:c r="G66" s="141" t="n">
        <x:v>40</x:v>
      </x:c>
      <x:c r="H66" s="141" t="str">
        <x:v>Yes</x:v>
      </x:c>
      <x:c r="I66" s="141" t="n">
        <x:v>5</x:v>
      </x:c>
      <x:c r="J66" s="141" t="str">
        <x:v>HRIS</x:v>
      </x:c>
    </x:row>
    <x:row r="67">
      <x:c r="A67" s="141" t="str">
        <x:v>TKT-0062</x:v>
      </x:c>
      <x:c r="B67" s="171" t="n">
        <x:v>46081</x:v>
      </x:c>
      <x:c r="C67" s="141" t="str">
        <x:v>Q1</x:v>
      </x:c>
      <x:c r="D67" s="141" t="str">
        <x:v>HRIS access</x:v>
      </x:c>
      <x:c r="E67" s="141" t="str">
        <x:v>Low</x:v>
      </x:c>
      <x:c r="F67" s="141" t="n">
        <x:v>54.7</x:v>
      </x:c>
      <x:c r="G67" s="141" t="n">
        <x:v>40</x:v>
      </x:c>
      <x:c r="H67" s="141" t="str">
        <x:v>No</x:v>
      </x:c>
      <x:c r="I67" s="141" t="n">
        <x:v>1</x:v>
      </x:c>
      <x:c r="J67" s="141" t="str">
        <x:v>Walk-in</x:v>
      </x:c>
    </x:row>
    <x:row r="68">
      <x:c r="A68" s="141" t="str">
        <x:v>TKT-0063</x:v>
      </x:c>
      <x:c r="B68" s="171" t="n">
        <x:v>46060</x:v>
      </x:c>
      <x:c r="C68" s="141" t="str">
        <x:v>Q1</x:v>
      </x:c>
      <x:c r="D68" s="141" t="str">
        <x:v>Leave correction</x:v>
      </x:c>
      <x:c r="E68" s="141" t="str">
        <x:v>Low</x:v>
      </x:c>
      <x:c r="F68" s="141" t="n">
        <x:v>28.2</x:v>
      </x:c>
      <x:c r="G68" s="141" t="n">
        <x:v>40</x:v>
      </x:c>
      <x:c r="H68" s="141" t="str">
        <x:v>Yes</x:v>
      </x:c>
      <x:c r="I68" s="141" t="n">
        <x:v>5</x:v>
      </x:c>
      <x:c r="J68" s="141" t="str">
        <x:v>Manager referral</x:v>
      </x:c>
    </x:row>
    <x:row r="69">
      <x:c r="A69" s="141" t="str">
        <x:v>TKT-0064</x:v>
      </x:c>
      <x:c r="B69" s="171" t="n">
        <x:v>46054</x:v>
      </x:c>
      <x:c r="C69" s="141" t="str">
        <x:v>Q1</x:v>
      </x:c>
      <x:c r="D69" s="141" t="str">
        <x:v>Benefit query</x:v>
      </x:c>
      <x:c r="E69" s="141" t="str">
        <x:v>Low</x:v>
      </x:c>
      <x:c r="F69" s="141" t="n">
        <x:v>83.4</x:v>
      </x:c>
      <x:c r="G69" s="141" t="n">
        <x:v>40</x:v>
      </x:c>
      <x:c r="H69" s="141" t="str">
        <x:v>No</x:v>
      </x:c>
      <x:c r="I69" s="141" t="n">
        <x:v>1</x:v>
      </x:c>
      <x:c r="J69" s="141" t="str">
        <x:v>Walk-in</x:v>
      </x:c>
    </x:row>
    <x:row r="70">
      <x:c r="A70" s="141" t="str">
        <x:v>TKT-0065</x:v>
      </x:c>
      <x:c r="B70" s="171" t="n">
        <x:v>46074</x:v>
      </x:c>
      <x:c r="C70" s="141" t="str">
        <x:v>Q1</x:v>
      </x:c>
      <x:c r="D70" s="141" t="str">
        <x:v>Leave correction</x:v>
      </x:c>
      <x:c r="E70" s="141" t="str">
        <x:v>Medium</x:v>
      </x:c>
      <x:c r="F70" s="141" t="n">
        <x:v>83</x:v>
      </x:c>
      <x:c r="G70" s="141" t="n">
        <x:v>40</x:v>
      </x:c>
      <x:c r="H70" s="141" t="str">
        <x:v>No</x:v>
      </x:c>
      <x:c r="I70" s="141" t="n">
        <x:v>1</x:v>
      </x:c>
      <x:c r="J70" s="141" t="str">
        <x:v>Manager referral</x:v>
      </x:c>
    </x:row>
    <x:row r="71">
      <x:c r="A71" s="141" t="str">
        <x:v>TKT-0066</x:v>
      </x:c>
      <x:c r="B71" s="171" t="n">
        <x:v>46062</x:v>
      </x:c>
      <x:c r="C71" s="141" t="str">
        <x:v>Q1</x:v>
      </x:c>
      <x:c r="D71" s="141" t="str">
        <x:v>Leave correction</x:v>
      </x:c>
      <x:c r="E71" s="141" t="str">
        <x:v>High</x:v>
      </x:c>
      <x:c r="F71" s="141" t="n">
        <x:v>7.9</x:v>
      </x:c>
      <x:c r="G71" s="141" t="n">
        <x:v>40</x:v>
      </x:c>
      <x:c r="H71" s="141" t="str">
        <x:v>Yes</x:v>
      </x:c>
      <x:c r="I71" s="141" t="n">
        <x:v>5</x:v>
      </x:c>
      <x:c r="J71" s="141" t="str">
        <x:v>Walk-in</x:v>
      </x:c>
    </x:row>
    <x:row r="72">
      <x:c r="A72" s="141" t="str">
        <x:v>TKT-0067</x:v>
      </x:c>
      <x:c r="B72" s="171" t="n">
        <x:v>46100</x:v>
      </x:c>
      <x:c r="C72" s="141" t="str">
        <x:v>Q1</x:v>
      </x:c>
      <x:c r="D72" s="141" t="str">
        <x:v>Benefit query</x:v>
      </x:c>
      <x:c r="E72" s="141" t="str">
        <x:v>Low</x:v>
      </x:c>
      <x:c r="F72" s="141" t="n">
        <x:v>57.9</x:v>
      </x:c>
      <x:c r="G72" s="141" t="n">
        <x:v>40</x:v>
      </x:c>
      <x:c r="H72" s="141" t="str">
        <x:v>No</x:v>
      </x:c>
      <x:c r="I72" s="141" t="n">
        <x:v>3</x:v>
      </x:c>
      <x:c r="J72" s="141" t="str">
        <x:v>Email</x:v>
      </x:c>
    </x:row>
    <x:row r="73">
      <x:c r="A73" s="141" t="str">
        <x:v>TKT-0068</x:v>
      </x:c>
      <x:c r="B73" s="171" t="n">
        <x:v>46090</x:v>
      </x:c>
      <x:c r="C73" s="141" t="str">
        <x:v>Q1</x:v>
      </x:c>
      <x:c r="D73" s="141" t="str">
        <x:v>Attendance correction</x:v>
      </x:c>
      <x:c r="E73" s="141" t="str">
        <x:v>Medium</x:v>
      </x:c>
      <x:c r="F73" s="141" t="n">
        <x:v>42.6</x:v>
      </x:c>
      <x:c r="G73" s="141" t="n">
        <x:v>40</x:v>
      </x:c>
      <x:c r="H73" s="141" t="str">
        <x:v>No</x:v>
      </x:c>
      <x:c r="I73" s="141" t="n">
        <x:v>3</x:v>
      </x:c>
      <x:c r="J73" s="141" t="str">
        <x:v>Manager referral</x:v>
      </x:c>
    </x:row>
    <x:row r="74">
      <x:c r="A74" s="141" t="str">
        <x:v>TKT-0069</x:v>
      </x:c>
      <x:c r="B74" s="171" t="n">
        <x:v>46082</x:v>
      </x:c>
      <x:c r="C74" s="141" t="str">
        <x:v>Q1</x:v>
      </x:c>
      <x:c r="D74" s="141" t="str">
        <x:v>HRIS access</x:v>
      </x:c>
      <x:c r="E74" s="141" t="str">
        <x:v>Medium</x:v>
      </x:c>
      <x:c r="F74" s="141" t="n">
        <x:v>78.3</x:v>
      </x:c>
      <x:c r="G74" s="141" t="n">
        <x:v>40</x:v>
      </x:c>
      <x:c r="H74" s="141" t="str">
        <x:v>No</x:v>
      </x:c>
      <x:c r="I74" s="141" t="n">
        <x:v>2</x:v>
      </x:c>
      <x:c r="J74" s="141" t="str">
        <x:v>Email</x:v>
      </x:c>
    </x:row>
    <x:row r="75">
      <x:c r="A75" s="141" t="str">
        <x:v>TKT-0070</x:v>
      </x:c>
      <x:c r="B75" s="171" t="n">
        <x:v>46105</x:v>
      </x:c>
      <x:c r="C75" s="141" t="str">
        <x:v>Q1</x:v>
      </x:c>
      <x:c r="D75" s="141" t="str">
        <x:v>Leave correction</x:v>
      </x:c>
      <x:c r="E75" s="141" t="str">
        <x:v>Low</x:v>
      </x:c>
      <x:c r="F75" s="141" t="n">
        <x:v>34.5</x:v>
      </x:c>
      <x:c r="G75" s="141" t="n">
        <x:v>40</x:v>
      </x:c>
      <x:c r="H75" s="141" t="str">
        <x:v>Yes</x:v>
      </x:c>
      <x:c r="I75" s="141" t="n">
        <x:v>5</x:v>
      </x:c>
      <x:c r="J75" s="141" t="str">
        <x:v>Manager referral</x:v>
      </x:c>
    </x:row>
    <x:row r="76">
      <x:c r="A76" s="141" t="str">
        <x:v>TKT-0071</x:v>
      </x:c>
      <x:c r="B76" s="171" t="n">
        <x:v>46092</x:v>
      </x:c>
      <x:c r="C76" s="141" t="str">
        <x:v>Q1</x:v>
      </x:c>
      <x:c r="D76" s="141" t="str">
        <x:v>Employee letter</x:v>
      </x:c>
      <x:c r="E76" s="141" t="str">
        <x:v>High</x:v>
      </x:c>
      <x:c r="F76" s="141" t="n">
        <x:v>31.1</x:v>
      </x:c>
      <x:c r="G76" s="141" t="n">
        <x:v>40</x:v>
      </x:c>
      <x:c r="H76" s="141" t="str">
        <x:v>Yes</x:v>
      </x:c>
      <x:c r="I76" s="141" t="n">
        <x:v>4</x:v>
      </x:c>
      <x:c r="J76" s="141" t="str">
        <x:v>Manager referral</x:v>
      </x:c>
    </x:row>
    <x:row r="77">
      <x:c r="A77" s="141" t="str">
        <x:v>TKT-0072</x:v>
      </x:c>
      <x:c r="B77" s="171" t="n">
        <x:v>46098</x:v>
      </x:c>
      <x:c r="C77" s="141" t="str">
        <x:v>Q1</x:v>
      </x:c>
      <x:c r="D77" s="141" t="str">
        <x:v>Grievance routing</x:v>
      </x:c>
      <x:c r="E77" s="141" t="str">
        <x:v>High</x:v>
      </x:c>
      <x:c r="F77" s="141" t="n">
        <x:v>15.1</x:v>
      </x:c>
      <x:c r="G77" s="141" t="n">
        <x:v>40</x:v>
      </x:c>
      <x:c r="H77" s="141" t="str">
        <x:v>Yes</x:v>
      </x:c>
      <x:c r="I77" s="141" t="n">
        <x:v>4</x:v>
      </x:c>
      <x:c r="J77" s="141" t="str">
        <x:v>Email</x:v>
      </x:c>
    </x:row>
    <x:row r="78">
      <x:c r="A78" s="141" t="str">
        <x:v>TKT-0073</x:v>
      </x:c>
      <x:c r="B78" s="171" t="n">
        <x:v>46093</x:v>
      </x:c>
      <x:c r="C78" s="141" t="str">
        <x:v>Q1</x:v>
      </x:c>
      <x:c r="D78" s="141" t="str">
        <x:v>Leave correction</x:v>
      </x:c>
      <x:c r="E78" s="141" t="str">
        <x:v>High</x:v>
      </x:c>
      <x:c r="F78" s="141" t="n">
        <x:v>47</x:v>
      </x:c>
      <x:c r="G78" s="141" t="n">
        <x:v>40</x:v>
      </x:c>
      <x:c r="H78" s="141" t="str">
        <x:v>No</x:v>
      </x:c>
      <x:c r="I78" s="141" t="n">
        <x:v>3</x:v>
      </x:c>
      <x:c r="J78" s="141" t="str">
        <x:v>Walk-in</x:v>
      </x:c>
    </x:row>
    <x:row r="79">
      <x:c r="A79" s="141" t="str">
        <x:v>TKT-0074</x:v>
      </x:c>
      <x:c r="B79" s="171" t="n">
        <x:v>46100</x:v>
      </x:c>
      <x:c r="C79" s="141" t="str">
        <x:v>Q1</x:v>
      </x:c>
      <x:c r="D79" s="141" t="str">
        <x:v>Benefit query</x:v>
      </x:c>
      <x:c r="E79" s="141" t="str">
        <x:v>Low</x:v>
      </x:c>
      <x:c r="F79" s="141" t="n">
        <x:v>23.4</x:v>
      </x:c>
      <x:c r="G79" s="141" t="n">
        <x:v>40</x:v>
      </x:c>
      <x:c r="H79" s="141" t="str">
        <x:v>Yes</x:v>
      </x:c>
      <x:c r="I79" s="141" t="n">
        <x:v>5</x:v>
      </x:c>
      <x:c r="J79" s="141" t="str">
        <x:v>HRIS</x:v>
      </x:c>
    </x:row>
    <x:row r="80">
      <x:c r="A80" s="141" t="str">
        <x:v>TKT-0075</x:v>
      </x:c>
      <x:c r="B80" s="171" t="n">
        <x:v>46108</x:v>
      </x:c>
      <x:c r="C80" s="141" t="str">
        <x:v>Q1</x:v>
      </x:c>
      <x:c r="D80" s="141" t="str">
        <x:v>Employee letter</x:v>
      </x:c>
      <x:c r="E80" s="141" t="str">
        <x:v>Medium</x:v>
      </x:c>
      <x:c r="F80" s="141" t="n">
        <x:v>64.5</x:v>
      </x:c>
      <x:c r="G80" s="141" t="n">
        <x:v>40</x:v>
      </x:c>
      <x:c r="H80" s="141" t="str">
        <x:v>No</x:v>
      </x:c>
      <x:c r="I80" s="141" t="n">
        <x:v>2</x:v>
      </x:c>
      <x:c r="J80" s="141" t="str">
        <x:v>Email</x:v>
      </x:c>
    </x:row>
    <x:row r="81">
      <x:c r="A81" s="141" t="str">
        <x:v>TKT-0076</x:v>
      </x:c>
      <x:c r="B81" s="171" t="n">
        <x:v>46083</x:v>
      </x:c>
      <x:c r="C81" s="141" t="str">
        <x:v>Q1</x:v>
      </x:c>
      <x:c r="D81" s="141" t="str">
        <x:v>Payroll query</x:v>
      </x:c>
      <x:c r="E81" s="141" t="str">
        <x:v>Low</x:v>
      </x:c>
      <x:c r="F81" s="141" t="n">
        <x:v>66</x:v>
      </x:c>
      <x:c r="G81" s="141" t="n">
        <x:v>40</x:v>
      </x:c>
      <x:c r="H81" s="141" t="str">
        <x:v>No</x:v>
      </x:c>
      <x:c r="I81" s="141" t="n">
        <x:v>2</x:v>
      </x:c>
      <x:c r="J81" s="141" t="str">
        <x:v>Email</x:v>
      </x:c>
    </x:row>
    <x:row r="82">
      <x:c r="A82" s="141" t="str">
        <x:v>TKT-0077</x:v>
      </x:c>
      <x:c r="B82" s="171" t="n">
        <x:v>46095</x:v>
      </x:c>
      <x:c r="C82" s="141" t="str">
        <x:v>Q1</x:v>
      </x:c>
      <x:c r="D82" s="141" t="str">
        <x:v>Payroll query</x:v>
      </x:c>
      <x:c r="E82" s="141" t="str">
        <x:v>Medium</x:v>
      </x:c>
      <x:c r="F82" s="141" t="n">
        <x:v>89.4</x:v>
      </x:c>
      <x:c r="G82" s="141" t="n">
        <x:v>40</x:v>
      </x:c>
      <x:c r="H82" s="141" t="str">
        <x:v>No</x:v>
      </x:c>
      <x:c r="I82" s="141" t="n">
        <x:v>2</x:v>
      </x:c>
      <x:c r="J82" s="141" t="str">
        <x:v>Walk-in</x:v>
      </x:c>
    </x:row>
    <x:row r="83">
      <x:c r="A83" s="141" t="str">
        <x:v>TKT-0078</x:v>
      </x:c>
      <x:c r="B83" s="171" t="n">
        <x:v>46092</x:v>
      </x:c>
      <x:c r="C83" s="141" t="str">
        <x:v>Q1</x:v>
      </x:c>
      <x:c r="D83" s="141" t="str">
        <x:v>Grievance routing</x:v>
      </x:c>
      <x:c r="E83" s="141" t="str">
        <x:v>Low</x:v>
      </x:c>
      <x:c r="F83" s="141" t="n">
        <x:v>36.6</x:v>
      </x:c>
      <x:c r="G83" s="141" t="n">
        <x:v>40</x:v>
      </x:c>
      <x:c r="H83" s="141" t="str">
        <x:v>Yes</x:v>
      </x:c>
      <x:c r="I83" s="141" t="n">
        <x:v>5</x:v>
      </x:c>
      <x:c r="J83" s="141" t="str">
        <x:v>Manager referral</x:v>
      </x:c>
    </x:row>
    <x:row r="84">
      <x:c r="A84" s="141" t="str">
        <x:v>TKT-0079</x:v>
      </x:c>
      <x:c r="B84" s="171" t="n">
        <x:v>46105</x:v>
      </x:c>
      <x:c r="C84" s="141" t="str">
        <x:v>Q1</x:v>
      </x:c>
      <x:c r="D84" s="141" t="str">
        <x:v>Grievance routing</x:v>
      </x:c>
      <x:c r="E84" s="141" t="str">
        <x:v>Medium</x:v>
      </x:c>
      <x:c r="F84" s="141" t="n">
        <x:v>19.1</x:v>
      </x:c>
      <x:c r="G84" s="141" t="n">
        <x:v>40</x:v>
      </x:c>
      <x:c r="H84" s="141" t="str">
        <x:v>Yes</x:v>
      </x:c>
      <x:c r="I84" s="141" t="n">
        <x:v>4</x:v>
      </x:c>
      <x:c r="J84" s="141" t="str">
        <x:v>Walk-in</x:v>
      </x:c>
    </x:row>
    <x:row r="85">
      <x:c r="A85" s="141" t="str">
        <x:v>TKT-0080</x:v>
      </x:c>
      <x:c r="B85" s="171" t="n">
        <x:v>46111</x:v>
      </x:c>
      <x:c r="C85" s="141" t="str">
        <x:v>Q1</x:v>
      </x:c>
      <x:c r="D85" s="141" t="str">
        <x:v>Leave correction</x:v>
      </x:c>
      <x:c r="E85" s="141" t="str">
        <x:v>Low</x:v>
      </x:c>
      <x:c r="F85" s="141" t="n">
        <x:v>20.4</x:v>
      </x:c>
      <x:c r="G85" s="141" t="n">
        <x:v>40</x:v>
      </x:c>
      <x:c r="H85" s="141" t="str">
        <x:v>Yes</x:v>
      </x:c>
      <x:c r="I85" s="141" t="n">
        <x:v>5</x:v>
      </x:c>
      <x:c r="J85" s="141" t="str">
        <x:v>Walk-in</x:v>
      </x:c>
    </x:row>
    <x:row r="86">
      <x:c r="A86" s="141" t="str">
        <x:v>TKT-0081</x:v>
      </x:c>
      <x:c r="B86" s="171" t="n">
        <x:v>46095</x:v>
      </x:c>
      <x:c r="C86" s="141" t="str">
        <x:v>Q1</x:v>
      </x:c>
      <x:c r="D86" s="141" t="str">
        <x:v>Attendance correction</x:v>
      </x:c>
      <x:c r="E86" s="141" t="str">
        <x:v>Medium</x:v>
      </x:c>
      <x:c r="F86" s="141" t="n">
        <x:v>75.5</x:v>
      </x:c>
      <x:c r="G86" s="141" t="n">
        <x:v>40</x:v>
      </x:c>
      <x:c r="H86" s="141" t="str">
        <x:v>No</x:v>
      </x:c>
      <x:c r="I86" s="141" t="n">
        <x:v>1</x:v>
      </x:c>
      <x:c r="J86" s="141" t="str">
        <x:v>Email</x:v>
      </x:c>
    </x:row>
    <x:row r="87">
      <x:c r="A87" s="141" t="str">
        <x:v>TKT-0082</x:v>
      </x:c>
      <x:c r="B87" s="171" t="n">
        <x:v>46109</x:v>
      </x:c>
      <x:c r="C87" s="141" t="str">
        <x:v>Q1</x:v>
      </x:c>
      <x:c r="D87" s="141" t="str">
        <x:v>Employee letter</x:v>
      </x:c>
      <x:c r="E87" s="141" t="str">
        <x:v>Low</x:v>
      </x:c>
      <x:c r="F87" s="141" t="n">
        <x:v>92.7</x:v>
      </x:c>
      <x:c r="G87" s="141" t="n">
        <x:v>40</x:v>
      </x:c>
      <x:c r="H87" s="141" t="str">
        <x:v>No</x:v>
      </x:c>
      <x:c r="I87" s="141" t="n">
        <x:v>2</x:v>
      </x:c>
      <x:c r="J87" s="141" t="str">
        <x:v>Walk-in</x:v>
      </x:c>
    </x:row>
    <x:row r="88">
      <x:c r="A88" s="141" t="str">
        <x:v>TKT-0083</x:v>
      </x:c>
      <x:c r="B88" s="171" t="n">
        <x:v>46089</x:v>
      </x:c>
      <x:c r="C88" s="141" t="str">
        <x:v>Q1</x:v>
      </x:c>
      <x:c r="D88" s="141" t="str">
        <x:v>Attendance correction</x:v>
      </x:c>
      <x:c r="E88" s="141" t="str">
        <x:v>Medium</x:v>
      </x:c>
      <x:c r="F88" s="141" t="n">
        <x:v>56</x:v>
      </x:c>
      <x:c r="G88" s="141" t="n">
        <x:v>40</x:v>
      </x:c>
      <x:c r="H88" s="141" t="str">
        <x:v>No</x:v>
      </x:c>
      <x:c r="I88" s="141" t="n">
        <x:v>3</x:v>
      </x:c>
      <x:c r="J88" s="141" t="str">
        <x:v>Email</x:v>
      </x:c>
    </x:row>
    <x:row r="89">
      <x:c r="A89" s="141" t="str">
        <x:v>TKT-0084</x:v>
      </x:c>
      <x:c r="B89" s="171" t="n">
        <x:v>46101</x:v>
      </x:c>
      <x:c r="C89" s="141" t="str">
        <x:v>Q1</x:v>
      </x:c>
      <x:c r="D89" s="141" t="str">
        <x:v>Payroll query</x:v>
      </x:c>
      <x:c r="E89" s="141" t="str">
        <x:v>Low</x:v>
      </x:c>
      <x:c r="F89" s="141" t="n">
        <x:v>48.2</x:v>
      </x:c>
      <x:c r="G89" s="141" t="n">
        <x:v>40</x:v>
      </x:c>
      <x:c r="H89" s="141" t="str">
        <x:v>No</x:v>
      </x:c>
      <x:c r="I89" s="141" t="n">
        <x:v>1</x:v>
      </x:c>
      <x:c r="J89" s="141" t="str">
        <x:v>Email</x:v>
      </x:c>
    </x:row>
    <x:row r="90">
      <x:c r="A90" s="141" t="str">
        <x:v>TKT-0085</x:v>
      </x:c>
      <x:c r="B90" s="171" t="n">
        <x:v>46101</x:v>
      </x:c>
      <x:c r="C90" s="141" t="str">
        <x:v>Q1</x:v>
      </x:c>
      <x:c r="D90" s="141" t="str">
        <x:v>Benefit query</x:v>
      </x:c>
      <x:c r="E90" s="141" t="str">
        <x:v>High</x:v>
      </x:c>
      <x:c r="F90" s="141" t="n">
        <x:v>63.1</x:v>
      </x:c>
      <x:c r="G90" s="141" t="n">
        <x:v>40</x:v>
      </x:c>
      <x:c r="H90" s="141" t="str">
        <x:v>No</x:v>
      </x:c>
      <x:c r="I90" s="141" t="n">
        <x:v>2</x:v>
      </x:c>
      <x:c r="J90" s="141" t="str">
        <x:v>HRIS</x:v>
      </x:c>
    </x:row>
    <x:row r="91">
      <x:c r="A91" s="141" t="str">
        <x:v>TKT-0086</x:v>
      </x:c>
      <x:c r="B91" s="171" t="n">
        <x:v>46097</x:v>
      </x:c>
      <x:c r="C91" s="141" t="str">
        <x:v>Q1</x:v>
      </x:c>
      <x:c r="D91" s="141" t="str">
        <x:v>Leave correction</x:v>
      </x:c>
      <x:c r="E91" s="141" t="str">
        <x:v>Medium</x:v>
      </x:c>
      <x:c r="F91" s="141" t="n">
        <x:v>8.6</x:v>
      </x:c>
      <x:c r="G91" s="141" t="n">
        <x:v>40</x:v>
      </x:c>
      <x:c r="H91" s="141" t="str">
        <x:v>Yes</x:v>
      </x:c>
      <x:c r="I91" s="141" t="n">
        <x:v>4</x:v>
      </x:c>
      <x:c r="J91" s="141" t="str">
        <x:v>Email</x:v>
      </x:c>
    </x:row>
    <x:row r="92">
      <x:c r="A92" s="141" t="str">
        <x:v>TKT-0087</x:v>
      </x:c>
      <x:c r="B92" s="171" t="n">
        <x:v>46106</x:v>
      </x:c>
      <x:c r="C92" s="141" t="str">
        <x:v>Q1</x:v>
      </x:c>
      <x:c r="D92" s="141" t="str">
        <x:v>HRIS access</x:v>
      </x:c>
      <x:c r="E92" s="141" t="str">
        <x:v>Medium</x:v>
      </x:c>
      <x:c r="F92" s="141" t="n">
        <x:v>21.6</x:v>
      </x:c>
      <x:c r="G92" s="141" t="n">
        <x:v>40</x:v>
      </x:c>
      <x:c r="H92" s="141" t="str">
        <x:v>Yes</x:v>
      </x:c>
      <x:c r="I92" s="141" t="n">
        <x:v>5</x:v>
      </x:c>
      <x:c r="J92" s="141" t="str">
        <x:v>HRIS</x:v>
      </x:c>
    </x:row>
    <x:row r="93">
      <x:c r="A93" s="141" t="str">
        <x:v>TKT-0088</x:v>
      </x:c>
      <x:c r="B93" s="171" t="n">
        <x:v>46085</x:v>
      </x:c>
      <x:c r="C93" s="141" t="str">
        <x:v>Q1</x:v>
      </x:c>
      <x:c r="D93" s="141" t="str">
        <x:v>Payroll query</x:v>
      </x:c>
      <x:c r="E93" s="141" t="str">
        <x:v>Medium</x:v>
      </x:c>
      <x:c r="F93" s="141" t="n">
        <x:v>61.3</x:v>
      </x:c>
      <x:c r="G93" s="141" t="n">
        <x:v>40</x:v>
      </x:c>
      <x:c r="H93" s="141" t="str">
        <x:v>No</x:v>
      </x:c>
      <x:c r="I93" s="141" t="n">
        <x:v>3</x:v>
      </x:c>
      <x:c r="J93" s="141" t="str">
        <x:v>HRIS</x:v>
      </x:c>
    </x:row>
    <x:row r="94">
      <x:c r="A94" s="141" t="str">
        <x:v>TKT-0089</x:v>
      </x:c>
      <x:c r="B94" s="171" t="n">
        <x:v>46105</x:v>
      </x:c>
      <x:c r="C94" s="141" t="str">
        <x:v>Q1</x:v>
      </x:c>
      <x:c r="D94" s="141" t="str">
        <x:v>Benefit query</x:v>
      </x:c>
      <x:c r="E94" s="141" t="str">
        <x:v>Medium</x:v>
      </x:c>
      <x:c r="F94" s="141" t="n">
        <x:v>30.9</x:v>
      </x:c>
      <x:c r="G94" s="141" t="n">
        <x:v>40</x:v>
      </x:c>
      <x:c r="H94" s="141" t="str">
        <x:v>Yes</x:v>
      </x:c>
      <x:c r="I94" s="141" t="n">
        <x:v>4</x:v>
      </x:c>
      <x:c r="J94" s="141" t="str">
        <x:v>Email</x:v>
      </x:c>
    </x:row>
    <x:row r="95">
      <x:c r="A95" s="141" t="str">
        <x:v>TKT-0090</x:v>
      </x:c>
      <x:c r="B95" s="171" t="n">
        <x:v>46102</x:v>
      </x:c>
      <x:c r="C95" s="141" t="str">
        <x:v>Q1</x:v>
      </x:c>
      <x:c r="D95" s="141" t="str">
        <x:v>Payroll query</x:v>
      </x:c>
      <x:c r="E95" s="141" t="str">
        <x:v>Low</x:v>
      </x:c>
      <x:c r="F95" s="141" t="n">
        <x:v>30.6</x:v>
      </x:c>
      <x:c r="G95" s="141" t="n">
        <x:v>40</x:v>
      </x:c>
      <x:c r="H95" s="141" t="str">
        <x:v>Yes</x:v>
      </x:c>
      <x:c r="I95" s="141" t="n">
        <x:v>5</x:v>
      </x:c>
      <x:c r="J95" s="141" t="str">
        <x:v>Manager referral</x:v>
      </x:c>
    </x:row>
    <x:row r="96">
      <x:c r="A96" s="141" t="str">
        <x:v>TKT-0091</x:v>
      </x:c>
      <x:c r="B96" s="171" t="n">
        <x:v>46112</x:v>
      </x:c>
      <x:c r="C96" s="141" t="str">
        <x:v>Q1</x:v>
      </x:c>
      <x:c r="D96" s="141" t="str">
        <x:v>Employee letter</x:v>
      </x:c>
      <x:c r="E96" s="141" t="str">
        <x:v>Medium</x:v>
      </x:c>
      <x:c r="F96" s="141" t="n">
        <x:v>71</x:v>
      </x:c>
      <x:c r="G96" s="141" t="n">
        <x:v>40</x:v>
      </x:c>
      <x:c r="H96" s="141" t="str">
        <x:v>No</x:v>
      </x:c>
      <x:c r="I96" s="141" t="n">
        <x:v>2</x:v>
      </x:c>
      <x:c r="J96" s="141" t="str">
        <x:v>Email</x:v>
      </x:c>
    </x:row>
    <x:row r="97">
      <x:c r="A97" s="141" t="str">
        <x:v>TKT-0092</x:v>
      </x:c>
      <x:c r="B97" s="171" t="n">
        <x:v>46093</x:v>
      </x:c>
      <x:c r="C97" s="141" t="str">
        <x:v>Q1</x:v>
      </x:c>
      <x:c r="D97" s="141" t="str">
        <x:v>Payroll query</x:v>
      </x:c>
      <x:c r="E97" s="141" t="str">
        <x:v>Low</x:v>
      </x:c>
      <x:c r="F97" s="141" t="n">
        <x:v>33.9</x:v>
      </x:c>
      <x:c r="G97" s="141" t="n">
        <x:v>40</x:v>
      </x:c>
      <x:c r="H97" s="141" t="str">
        <x:v>Yes</x:v>
      </x:c>
      <x:c r="I97" s="141" t="n">
        <x:v>5</x:v>
      </x:c>
      <x:c r="J97" s="141" t="str">
        <x:v>HRIS</x:v>
      </x:c>
    </x:row>
    <x:row r="98">
      <x:c r="A98" s="141" t="str">
        <x:v>TKT-0093</x:v>
      </x:c>
      <x:c r="B98" s="171" t="n">
        <x:v>46101</x:v>
      </x:c>
      <x:c r="C98" s="141" t="str">
        <x:v>Q1</x:v>
      </x:c>
      <x:c r="D98" s="141" t="str">
        <x:v>Payroll query</x:v>
      </x:c>
      <x:c r="E98" s="141" t="str">
        <x:v>Medium</x:v>
      </x:c>
      <x:c r="F98" s="141" t="n">
        <x:v>96.8</x:v>
      </x:c>
      <x:c r="G98" s="141" t="n">
        <x:v>40</x:v>
      </x:c>
      <x:c r="H98" s="141" t="str">
        <x:v>No</x:v>
      </x:c>
      <x:c r="I98" s="141" t="n">
        <x:v>3</x:v>
      </x:c>
      <x:c r="J98" s="141" t="str">
        <x:v>Email</x:v>
      </x:c>
    </x:row>
    <x:row r="99">
      <x:c r="A99" s="141" t="str">
        <x:v>TKT-0094</x:v>
      </x:c>
      <x:c r="B99" s="171" t="n">
        <x:v>46097</x:v>
      </x:c>
      <x:c r="C99" s="141" t="str">
        <x:v>Q1</x:v>
      </x:c>
      <x:c r="D99" s="141" t="str">
        <x:v>Attendance correction</x:v>
      </x:c>
      <x:c r="E99" s="141" t="str">
        <x:v>Medium</x:v>
      </x:c>
      <x:c r="F99" s="141" t="n">
        <x:v>26.2</x:v>
      </x:c>
      <x:c r="G99" s="141" t="n">
        <x:v>40</x:v>
      </x:c>
      <x:c r="H99" s="141" t="str">
        <x:v>Yes</x:v>
      </x:c>
      <x:c r="I99" s="141" t="n">
        <x:v>4</x:v>
      </x:c>
      <x:c r="J99" s="141" t="str">
        <x:v>HRIS</x:v>
      </x:c>
    </x:row>
    <x:row r="100">
      <x:c r="A100" s="141" t="str">
        <x:v>TKT-0095</x:v>
      </x:c>
      <x:c r="B100" s="171" t="n">
        <x:v>46109</x:v>
      </x:c>
      <x:c r="C100" s="141" t="str">
        <x:v>Q1</x:v>
      </x:c>
      <x:c r="D100" s="141" t="str">
        <x:v>Payroll query</x:v>
      </x:c>
      <x:c r="E100" s="141" t="str">
        <x:v>Low</x:v>
      </x:c>
      <x:c r="F100" s="141" t="n">
        <x:v>75.9</x:v>
      </x:c>
      <x:c r="G100" s="141" t="n">
        <x:v>40</x:v>
      </x:c>
      <x:c r="H100" s="141" t="str">
        <x:v>No</x:v>
      </x:c>
      <x:c r="I100" s="141" t="n">
        <x:v>1</x:v>
      </x:c>
      <x:c r="J100" s="141" t="str">
        <x:v>Walk-in</x:v>
      </x:c>
    </x:row>
    <x:row r="101">
      <x:c r="A101" s="141" t="str">
        <x:v>TKT-0096</x:v>
      </x:c>
      <x:c r="B101" s="171" t="n">
        <x:v>46102</x:v>
      </x:c>
      <x:c r="C101" s="141" t="str">
        <x:v>Q1</x:v>
      </x:c>
      <x:c r="D101" s="141" t="str">
        <x:v>Payroll query</x:v>
      </x:c>
      <x:c r="E101" s="141" t="str">
        <x:v>Medium</x:v>
      </x:c>
      <x:c r="F101" s="141" t="n">
        <x:v>53.4</x:v>
      </x:c>
      <x:c r="G101" s="141" t="n">
        <x:v>40</x:v>
      </x:c>
      <x:c r="H101" s="141" t="str">
        <x:v>No</x:v>
      </x:c>
      <x:c r="I101" s="141" t="n">
        <x:v>2</x:v>
      </x:c>
      <x:c r="J101" s="141" t="str">
        <x:v>Manager referral</x:v>
      </x:c>
    </x:row>
    <x:row r="102">
      <x:c r="A102" s="141" t="str">
        <x:v>TKT-0097</x:v>
      </x:c>
      <x:c r="B102" s="171" t="n">
        <x:v>46089</x:v>
      </x:c>
      <x:c r="C102" s="141" t="str">
        <x:v>Q1</x:v>
      </x:c>
      <x:c r="D102" s="141" t="str">
        <x:v>Leave correction</x:v>
      </x:c>
      <x:c r="E102" s="141" t="str">
        <x:v>High</x:v>
      </x:c>
      <x:c r="F102" s="141" t="n">
        <x:v>14</x:v>
      </x:c>
      <x:c r="G102" s="141" t="n">
        <x:v>40</x:v>
      </x:c>
      <x:c r="H102" s="141" t="str">
        <x:v>Yes</x:v>
      </x:c>
      <x:c r="I102" s="141" t="n">
        <x:v>5</x:v>
      </x:c>
      <x:c r="J102" s="141" t="str">
        <x:v>Email</x:v>
      </x:c>
    </x:row>
    <x:row r="103">
      <x:c r="A103" s="141" t="str">
        <x:v>TKT-0098</x:v>
      </x:c>
      <x:c r="B103" s="171" t="n">
        <x:v>46125</x:v>
      </x:c>
      <x:c r="C103" s="141" t="str">
        <x:v>Q2</x:v>
      </x:c>
      <x:c r="D103" s="141" t="str">
        <x:v>Attendance correction</x:v>
      </x:c>
      <x:c r="E103" s="141" t="str">
        <x:v>Low</x:v>
      </x:c>
      <x:c r="F103" s="141" t="n">
        <x:v>4.7</x:v>
      </x:c>
      <x:c r="G103" s="141" t="n">
        <x:v>40</x:v>
      </x:c>
      <x:c r="H103" s="141" t="str">
        <x:v>Yes</x:v>
      </x:c>
      <x:c r="I103" s="141" t="n">
        <x:v>5</x:v>
      </x:c>
      <x:c r="J103" s="141" t="str">
        <x:v>Manager referral</x:v>
      </x:c>
    </x:row>
    <x:row r="104">
      <x:c r="A104" s="141" t="str">
        <x:v>TKT-0099</x:v>
      </x:c>
      <x:c r="B104" s="171" t="n">
        <x:v>46113</x:v>
      </x:c>
      <x:c r="C104" s="141" t="str">
        <x:v>Q2</x:v>
      </x:c>
      <x:c r="D104" s="141" t="str">
        <x:v>HRIS access</x:v>
      </x:c>
      <x:c r="E104" s="141" t="str">
        <x:v>Medium</x:v>
      </x:c>
      <x:c r="F104" s="141" t="n">
        <x:v>21.2</x:v>
      </x:c>
      <x:c r="G104" s="141" t="n">
        <x:v>40</x:v>
      </x:c>
      <x:c r="H104" s="141" t="str">
        <x:v>Yes</x:v>
      </x:c>
      <x:c r="I104" s="141" t="n">
        <x:v>4</x:v>
      </x:c>
      <x:c r="J104" s="141" t="str">
        <x:v>Email</x:v>
      </x:c>
    </x:row>
    <x:row r="105">
      <x:c r="A105" s="141" t="str">
        <x:v>TKT-0100</x:v>
      </x:c>
      <x:c r="B105" s="171" t="n">
        <x:v>46122</x:v>
      </x:c>
      <x:c r="C105" s="141" t="str">
        <x:v>Q2</x:v>
      </x:c>
      <x:c r="D105" s="141" t="str">
        <x:v>Payroll query</x:v>
      </x:c>
      <x:c r="E105" s="141" t="str">
        <x:v>Medium</x:v>
      </x:c>
      <x:c r="F105" s="141" t="n">
        <x:v>36.7</x:v>
      </x:c>
      <x:c r="G105" s="141" t="n">
        <x:v>40</x:v>
      </x:c>
      <x:c r="H105" s="141" t="str">
        <x:v>Yes</x:v>
      </x:c>
      <x:c r="I105" s="141" t="n">
        <x:v>5</x:v>
      </x:c>
      <x:c r="J105" s="141" t="str">
        <x:v>Email</x:v>
      </x:c>
    </x:row>
    <x:row r="106">
      <x:c r="A106" s="141" t="str">
        <x:v>TKT-0101</x:v>
      </x:c>
      <x:c r="B106" s="171" t="n">
        <x:v>46135</x:v>
      </x:c>
      <x:c r="C106" s="141" t="str">
        <x:v>Q2</x:v>
      </x:c>
      <x:c r="D106" s="141" t="str">
        <x:v>Attendance correction</x:v>
      </x:c>
      <x:c r="E106" s="141" t="str">
        <x:v>Low</x:v>
      </x:c>
      <x:c r="F106" s="141" t="n">
        <x:v>23.4</x:v>
      </x:c>
      <x:c r="G106" s="141" t="n">
        <x:v>40</x:v>
      </x:c>
      <x:c r="H106" s="141" t="str">
        <x:v>Yes</x:v>
      </x:c>
      <x:c r="I106" s="141" t="n">
        <x:v>4</x:v>
      </x:c>
      <x:c r="J106" s="141" t="str">
        <x:v>Manager referral</x:v>
      </x:c>
    </x:row>
    <x:row r="107">
      <x:c r="A107" s="141" t="str">
        <x:v>TKT-0102</x:v>
      </x:c>
      <x:c r="B107" s="171" t="n">
        <x:v>46128</x:v>
      </x:c>
      <x:c r="C107" s="141" t="str">
        <x:v>Q2</x:v>
      </x:c>
      <x:c r="D107" s="141" t="str">
        <x:v>Employee letter</x:v>
      </x:c>
      <x:c r="E107" s="141" t="str">
        <x:v>Low</x:v>
      </x:c>
      <x:c r="F107" s="141" t="n">
        <x:v>30.5</x:v>
      </x:c>
      <x:c r="G107" s="141" t="n">
        <x:v>40</x:v>
      </x:c>
      <x:c r="H107" s="141" t="str">
        <x:v>Yes</x:v>
      </x:c>
      <x:c r="I107" s="141" t="n">
        <x:v>4</x:v>
      </x:c>
      <x:c r="J107" s="141" t="str">
        <x:v>Walk-in</x:v>
      </x:c>
    </x:row>
    <x:row r="108">
      <x:c r="A108" s="141" t="str">
        <x:v>TKT-0103</x:v>
      </x:c>
      <x:c r="B108" s="171" t="n">
        <x:v>46140</x:v>
      </x:c>
      <x:c r="C108" s="141" t="str">
        <x:v>Q2</x:v>
      </x:c>
      <x:c r="D108" s="141" t="str">
        <x:v>Grievance routing</x:v>
      </x:c>
      <x:c r="E108" s="141" t="str">
        <x:v>High</x:v>
      </x:c>
      <x:c r="F108" s="141" t="n">
        <x:v>6.4</x:v>
      </x:c>
      <x:c r="G108" s="141" t="n">
        <x:v>40</x:v>
      </x:c>
      <x:c r="H108" s="141" t="str">
        <x:v>Yes</x:v>
      </x:c>
      <x:c r="I108" s="141" t="n">
        <x:v>4</x:v>
      </x:c>
      <x:c r="J108" s="141" t="str">
        <x:v>Walk-in</x:v>
      </x:c>
    </x:row>
    <x:row r="109">
      <x:c r="A109" s="141" t="str">
        <x:v>TKT-0104</x:v>
      </x:c>
      <x:c r="B109" s="171" t="n">
        <x:v>46134</x:v>
      </x:c>
      <x:c r="C109" s="141" t="str">
        <x:v>Q2</x:v>
      </x:c>
      <x:c r="D109" s="141" t="str">
        <x:v>HRIS access</x:v>
      </x:c>
      <x:c r="E109" s="141" t="str">
        <x:v>Low</x:v>
      </x:c>
      <x:c r="F109" s="141" t="n">
        <x:v>85</x:v>
      </x:c>
      <x:c r="G109" s="141" t="n">
        <x:v>40</x:v>
      </x:c>
      <x:c r="H109" s="141" t="str">
        <x:v>No</x:v>
      </x:c>
      <x:c r="I109" s="141" t="n">
        <x:v>2</x:v>
      </x:c>
      <x:c r="J109" s="141" t="str">
        <x:v>Email</x:v>
      </x:c>
    </x:row>
    <x:row r="110">
      <x:c r="A110" s="141" t="str">
        <x:v>TKT-0105</x:v>
      </x:c>
      <x:c r="B110" s="171" t="n">
        <x:v>46141</x:v>
      </x:c>
      <x:c r="C110" s="141" t="str">
        <x:v>Q2</x:v>
      </x:c>
      <x:c r="D110" s="141" t="str">
        <x:v>Benefit query</x:v>
      </x:c>
      <x:c r="E110" s="141" t="str">
        <x:v>Medium</x:v>
      </x:c>
      <x:c r="F110" s="141" t="n">
        <x:v>67.1</x:v>
      </x:c>
      <x:c r="G110" s="141" t="n">
        <x:v>40</x:v>
      </x:c>
      <x:c r="H110" s="141" t="str">
        <x:v>No</x:v>
      </x:c>
      <x:c r="I110" s="141" t="n">
        <x:v>2</x:v>
      </x:c>
      <x:c r="J110" s="141" t="str">
        <x:v>Walk-in</x:v>
      </x:c>
    </x:row>
    <x:row r="111">
      <x:c r="A111" s="141" t="str">
        <x:v>TKT-0106</x:v>
      </x:c>
      <x:c r="B111" s="171" t="n">
        <x:v>46138</x:v>
      </x:c>
      <x:c r="C111" s="141" t="str">
        <x:v>Q2</x:v>
      </x:c>
      <x:c r="D111" s="141" t="str">
        <x:v>Grievance routing</x:v>
      </x:c>
      <x:c r="E111" s="141" t="str">
        <x:v>Low</x:v>
      </x:c>
      <x:c r="F111" s="141" t="n">
        <x:v>92.4</x:v>
      </x:c>
      <x:c r="G111" s="141" t="n">
        <x:v>40</x:v>
      </x:c>
      <x:c r="H111" s="141" t="str">
        <x:v>No</x:v>
      </x:c>
      <x:c r="I111" s="141" t="n">
        <x:v>1</x:v>
      </x:c>
      <x:c r="J111" s="141" t="str">
        <x:v>HRIS</x:v>
      </x:c>
    </x:row>
    <x:row r="112">
      <x:c r="A112" s="141" t="str">
        <x:v>TKT-0107</x:v>
      </x:c>
      <x:c r="B112" s="171" t="n">
        <x:v>46140</x:v>
      </x:c>
      <x:c r="C112" s="141" t="str">
        <x:v>Q2</x:v>
      </x:c>
      <x:c r="D112" s="141" t="str">
        <x:v>Grievance routing</x:v>
      </x:c>
      <x:c r="E112" s="141" t="str">
        <x:v>Medium</x:v>
      </x:c>
      <x:c r="F112" s="141" t="n">
        <x:v>7.5</x:v>
      </x:c>
      <x:c r="G112" s="141" t="n">
        <x:v>40</x:v>
      </x:c>
      <x:c r="H112" s="141" t="str">
        <x:v>Yes</x:v>
      </x:c>
      <x:c r="I112" s="141" t="n">
        <x:v>4</x:v>
      </x:c>
      <x:c r="J112" s="141" t="str">
        <x:v>HRIS</x:v>
      </x:c>
    </x:row>
    <x:row r="113">
      <x:c r="A113" s="141" t="str">
        <x:v>TKT-0108</x:v>
      </x:c>
      <x:c r="B113" s="171" t="n">
        <x:v>46114</x:v>
      </x:c>
      <x:c r="C113" s="141" t="str">
        <x:v>Q2</x:v>
      </x:c>
      <x:c r="D113" s="141" t="str">
        <x:v>Attendance correction</x:v>
      </x:c>
      <x:c r="E113" s="141" t="str">
        <x:v>Low</x:v>
      </x:c>
      <x:c r="F113" s="141" t="n">
        <x:v>70.9</x:v>
      </x:c>
      <x:c r="G113" s="141" t="n">
        <x:v>40</x:v>
      </x:c>
      <x:c r="H113" s="141" t="str">
        <x:v>No</x:v>
      </x:c>
      <x:c r="I113" s="141" t="n">
        <x:v>1</x:v>
      </x:c>
      <x:c r="J113" s="141" t="str">
        <x:v>Manager referral</x:v>
      </x:c>
    </x:row>
    <x:row r="114">
      <x:c r="A114" s="141" t="str">
        <x:v>TKT-0109</x:v>
      </x:c>
      <x:c r="B114" s="171" t="n">
        <x:v>46125</x:v>
      </x:c>
      <x:c r="C114" s="141" t="str">
        <x:v>Q2</x:v>
      </x:c>
      <x:c r="D114" s="141" t="str">
        <x:v>Grievance routing</x:v>
      </x:c>
      <x:c r="E114" s="141" t="str">
        <x:v>Medium</x:v>
      </x:c>
      <x:c r="F114" s="141" t="n">
        <x:v>72.5</x:v>
      </x:c>
      <x:c r="G114" s="141" t="n">
        <x:v>40</x:v>
      </x:c>
      <x:c r="H114" s="141" t="str">
        <x:v>No</x:v>
      </x:c>
      <x:c r="I114" s="141" t="n">
        <x:v>1</x:v>
      </x:c>
      <x:c r="J114" s="141" t="str">
        <x:v>Walk-in</x:v>
      </x:c>
    </x:row>
    <x:row r="115">
      <x:c r="A115" s="141" t="str">
        <x:v>TKT-0110</x:v>
      </x:c>
      <x:c r="B115" s="171" t="n">
        <x:v>46129</x:v>
      </x:c>
      <x:c r="C115" s="141" t="str">
        <x:v>Q2</x:v>
      </x:c>
      <x:c r="D115" s="141" t="str">
        <x:v>Attendance correction</x:v>
      </x:c>
      <x:c r="E115" s="141" t="str">
        <x:v>Low</x:v>
      </x:c>
      <x:c r="F115" s="141" t="n">
        <x:v>16.1</x:v>
      </x:c>
      <x:c r="G115" s="141" t="n">
        <x:v>40</x:v>
      </x:c>
      <x:c r="H115" s="141" t="str">
        <x:v>Yes</x:v>
      </x:c>
      <x:c r="I115" s="141" t="n">
        <x:v>4</x:v>
      </x:c>
      <x:c r="J115" s="141" t="str">
        <x:v>Walk-in</x:v>
      </x:c>
    </x:row>
    <x:row r="116">
      <x:c r="A116" s="141" t="str">
        <x:v>TKT-0111</x:v>
      </x:c>
      <x:c r="B116" s="171" t="n">
        <x:v>46134</x:v>
      </x:c>
      <x:c r="C116" s="141" t="str">
        <x:v>Q2</x:v>
      </x:c>
      <x:c r="D116" s="141" t="str">
        <x:v>Payroll query</x:v>
      </x:c>
      <x:c r="E116" s="141" t="str">
        <x:v>Low</x:v>
      </x:c>
      <x:c r="F116" s="141" t="n">
        <x:v>11.4</x:v>
      </x:c>
      <x:c r="G116" s="141" t="n">
        <x:v>40</x:v>
      </x:c>
      <x:c r="H116" s="141" t="str">
        <x:v>Yes</x:v>
      </x:c>
      <x:c r="I116" s="141" t="n">
        <x:v>5</x:v>
      </x:c>
      <x:c r="J116" s="141" t="str">
        <x:v>Walk-in</x:v>
      </x:c>
    </x:row>
    <x:row r="117">
      <x:c r="A117" s="141" t="str">
        <x:v>TKT-0112</x:v>
      </x:c>
      <x:c r="B117" s="171" t="n">
        <x:v>46142</x:v>
      </x:c>
      <x:c r="C117" s="141" t="str">
        <x:v>Q2</x:v>
      </x:c>
      <x:c r="D117" s="141" t="str">
        <x:v>Employee letter</x:v>
      </x:c>
      <x:c r="E117" s="141" t="str">
        <x:v>Low</x:v>
      </x:c>
      <x:c r="F117" s="141" t="n">
        <x:v>17.4</x:v>
      </x:c>
      <x:c r="G117" s="141" t="n">
        <x:v>40</x:v>
      </x:c>
      <x:c r="H117" s="141" t="str">
        <x:v>Yes</x:v>
      </x:c>
      <x:c r="I117" s="141" t="n">
        <x:v>5</x:v>
      </x:c>
      <x:c r="J117" s="141" t="str">
        <x:v>HRIS</x:v>
      </x:c>
    </x:row>
    <x:row r="118">
      <x:c r="A118" s="141" t="str">
        <x:v>TKT-0113</x:v>
      </x:c>
      <x:c r="B118" s="171" t="n">
        <x:v>46123</x:v>
      </x:c>
      <x:c r="C118" s="141" t="str">
        <x:v>Q2</x:v>
      </x:c>
      <x:c r="D118" s="141" t="str">
        <x:v>Payroll query</x:v>
      </x:c>
      <x:c r="E118" s="141" t="str">
        <x:v>Medium</x:v>
      </x:c>
      <x:c r="F118" s="141" t="n">
        <x:v>6.8</x:v>
      </x:c>
      <x:c r="G118" s="141" t="n">
        <x:v>40</x:v>
      </x:c>
      <x:c r="H118" s="141" t="str">
        <x:v>Yes</x:v>
      </x:c>
      <x:c r="I118" s="141" t="n">
        <x:v>4</x:v>
      </x:c>
      <x:c r="J118" s="141" t="str">
        <x:v>Email</x:v>
      </x:c>
    </x:row>
    <x:row r="119">
      <x:c r="A119" s="141" t="str">
        <x:v>TKT-0114</x:v>
      </x:c>
      <x:c r="B119" s="171" t="n">
        <x:v>46128</x:v>
      </x:c>
      <x:c r="C119" s="141" t="str">
        <x:v>Q2</x:v>
      </x:c>
      <x:c r="D119" s="141" t="str">
        <x:v>Employee letter</x:v>
      </x:c>
      <x:c r="E119" s="141" t="str">
        <x:v>Low</x:v>
      </x:c>
      <x:c r="F119" s="141" t="n">
        <x:v>11.3</x:v>
      </x:c>
      <x:c r="G119" s="141" t="n">
        <x:v>40</x:v>
      </x:c>
      <x:c r="H119" s="141" t="str">
        <x:v>Yes</x:v>
      </x:c>
      <x:c r="I119" s="141" t="n">
        <x:v>5</x:v>
      </x:c>
      <x:c r="J119" s="141" t="str">
        <x:v>Email</x:v>
      </x:c>
    </x:row>
    <x:row r="120">
      <x:c r="A120" s="141" t="str">
        <x:v>TKT-0115</x:v>
      </x:c>
      <x:c r="B120" s="171" t="n">
        <x:v>46129</x:v>
      </x:c>
      <x:c r="C120" s="141" t="str">
        <x:v>Q2</x:v>
      </x:c>
      <x:c r="D120" s="141" t="str">
        <x:v>Grievance routing</x:v>
      </x:c>
      <x:c r="E120" s="141" t="str">
        <x:v>Medium</x:v>
      </x:c>
      <x:c r="F120" s="141" t="n">
        <x:v>93.6</x:v>
      </x:c>
      <x:c r="G120" s="141" t="n">
        <x:v>40</x:v>
      </x:c>
      <x:c r="H120" s="141" t="str">
        <x:v>No</x:v>
      </x:c>
      <x:c r="I120" s="141" t="n">
        <x:v>3</x:v>
      </x:c>
      <x:c r="J120" s="141" t="str">
        <x:v>HRIS</x:v>
      </x:c>
    </x:row>
    <x:row r="121">
      <x:c r="A121" s="141" t="str">
        <x:v>TKT-0116</x:v>
      </x:c>
      <x:c r="B121" s="171" t="n">
        <x:v>46117</x:v>
      </x:c>
      <x:c r="C121" s="141" t="str">
        <x:v>Q2</x:v>
      </x:c>
      <x:c r="D121" s="141" t="str">
        <x:v>Employee letter</x:v>
      </x:c>
      <x:c r="E121" s="141" t="str">
        <x:v>Low</x:v>
      </x:c>
      <x:c r="F121" s="141" t="n">
        <x:v>50.9</x:v>
      </x:c>
      <x:c r="G121" s="141" t="n">
        <x:v>40</x:v>
      </x:c>
      <x:c r="H121" s="141" t="str">
        <x:v>No</x:v>
      </x:c>
      <x:c r="I121" s="141" t="n">
        <x:v>2</x:v>
      </x:c>
      <x:c r="J121" s="141" t="str">
        <x:v>Email</x:v>
      </x:c>
    </x:row>
    <x:row r="122">
      <x:c r="A122" s="141" t="str">
        <x:v>TKT-0117</x:v>
      </x:c>
      <x:c r="B122" s="171" t="n">
        <x:v>46113</x:v>
      </x:c>
      <x:c r="C122" s="141" t="str">
        <x:v>Q2</x:v>
      </x:c>
      <x:c r="D122" s="141" t="str">
        <x:v>Attendance correction</x:v>
      </x:c>
      <x:c r="E122" s="141" t="str">
        <x:v>High</x:v>
      </x:c>
      <x:c r="F122" s="141" t="n">
        <x:v>72.3</x:v>
      </x:c>
      <x:c r="G122" s="141" t="n">
        <x:v>40</x:v>
      </x:c>
      <x:c r="H122" s="141" t="str">
        <x:v>No</x:v>
      </x:c>
      <x:c r="I122" s="141" t="n">
        <x:v>2</x:v>
      </x:c>
      <x:c r="J122" s="141" t="str">
        <x:v>Manager referral</x:v>
      </x:c>
    </x:row>
    <x:row r="123">
      <x:c r="A123" s="141" t="str">
        <x:v>TKT-0118</x:v>
      </x:c>
      <x:c r="B123" s="171" t="n">
        <x:v>46123</x:v>
      </x:c>
      <x:c r="C123" s="141" t="str">
        <x:v>Q2</x:v>
      </x:c>
      <x:c r="D123" s="141" t="str">
        <x:v>Grievance routing</x:v>
      </x:c>
      <x:c r="E123" s="141" t="str">
        <x:v>Medium</x:v>
      </x:c>
      <x:c r="F123" s="141" t="n">
        <x:v>75.4</x:v>
      </x:c>
      <x:c r="G123" s="141" t="n">
        <x:v>40</x:v>
      </x:c>
      <x:c r="H123" s="141" t="str">
        <x:v>No</x:v>
      </x:c>
      <x:c r="I123" s="141" t="n">
        <x:v>1</x:v>
      </x:c>
      <x:c r="J123" s="141" t="str">
        <x:v>Manager referral</x:v>
      </x:c>
    </x:row>
    <x:row r="124">
      <x:c r="A124" s="141" t="str">
        <x:v>TKT-0119</x:v>
      </x:c>
      <x:c r="B124" s="171" t="n">
        <x:v>46127</x:v>
      </x:c>
      <x:c r="C124" s="141" t="str">
        <x:v>Q2</x:v>
      </x:c>
      <x:c r="D124" s="141" t="str">
        <x:v>Attendance correction</x:v>
      </x:c>
      <x:c r="E124" s="141" t="str">
        <x:v>High</x:v>
      </x:c>
      <x:c r="F124" s="141" t="n">
        <x:v>36.6</x:v>
      </x:c>
      <x:c r="G124" s="141" t="n">
        <x:v>40</x:v>
      </x:c>
      <x:c r="H124" s="141" t="str">
        <x:v>Yes</x:v>
      </x:c>
      <x:c r="I124" s="141" t="n">
        <x:v>4</x:v>
      </x:c>
      <x:c r="J124" s="141" t="str">
        <x:v>Email</x:v>
      </x:c>
    </x:row>
    <x:row r="125">
      <x:c r="A125" s="141" t="str">
        <x:v>TKT-0120</x:v>
      </x:c>
      <x:c r="B125" s="171" t="n">
        <x:v>46171</x:v>
      </x:c>
      <x:c r="C125" s="141" t="str">
        <x:v>Q2</x:v>
      </x:c>
      <x:c r="D125" s="141" t="str">
        <x:v>Benefit query</x:v>
      </x:c>
      <x:c r="E125" s="141" t="str">
        <x:v>Medium</x:v>
      </x:c>
      <x:c r="F125" s="141" t="n">
        <x:v>15.6</x:v>
      </x:c>
      <x:c r="G125" s="141" t="n">
        <x:v>40</x:v>
      </x:c>
      <x:c r="H125" s="141" t="str">
        <x:v>Yes</x:v>
      </x:c>
      <x:c r="I125" s="141" t="n">
        <x:v>4</x:v>
      </x:c>
      <x:c r="J125" s="141" t="str">
        <x:v>Email</x:v>
      </x:c>
    </x:row>
    <x:row r="126">
      <x:c r="A126" s="141" t="str">
        <x:v>TKT-0121</x:v>
      </x:c>
      <x:c r="B126" s="171" t="n">
        <x:v>46157</x:v>
      </x:c>
      <x:c r="C126" s="141" t="str">
        <x:v>Q2</x:v>
      </x:c>
      <x:c r="D126" s="141" t="str">
        <x:v>Employee letter</x:v>
      </x:c>
      <x:c r="E126" s="141" t="str">
        <x:v>High</x:v>
      </x:c>
      <x:c r="F126" s="141" t="n">
        <x:v>36.9</x:v>
      </x:c>
      <x:c r="G126" s="141" t="n">
        <x:v>40</x:v>
      </x:c>
      <x:c r="H126" s="141" t="str">
        <x:v>Yes</x:v>
      </x:c>
      <x:c r="I126" s="141" t="n">
        <x:v>4</x:v>
      </x:c>
      <x:c r="J126" s="141" t="str">
        <x:v>HRIS</x:v>
      </x:c>
    </x:row>
    <x:row r="127">
      <x:c r="A127" s="141" t="str">
        <x:v>TKT-0122</x:v>
      </x:c>
      <x:c r="B127" s="171" t="n">
        <x:v>46155</x:v>
      </x:c>
      <x:c r="C127" s="141" t="str">
        <x:v>Q2</x:v>
      </x:c>
      <x:c r="D127" s="141" t="str">
        <x:v>Employee letter</x:v>
      </x:c>
      <x:c r="E127" s="141" t="str">
        <x:v>Low</x:v>
      </x:c>
      <x:c r="F127" s="141" t="n">
        <x:v>6.6</x:v>
      </x:c>
      <x:c r="G127" s="141" t="n">
        <x:v>40</x:v>
      </x:c>
      <x:c r="H127" s="141" t="str">
        <x:v>Yes</x:v>
      </x:c>
      <x:c r="I127" s="141" t="n">
        <x:v>5</x:v>
      </x:c>
      <x:c r="J127" s="141" t="str">
        <x:v>Email</x:v>
      </x:c>
    </x:row>
    <x:row r="128">
      <x:c r="A128" s="141" t="str">
        <x:v>TKT-0123</x:v>
      </x:c>
      <x:c r="B128" s="171" t="n">
        <x:v>46147</x:v>
      </x:c>
      <x:c r="C128" s="141" t="str">
        <x:v>Q2</x:v>
      </x:c>
      <x:c r="D128" s="141" t="str">
        <x:v>Benefit query</x:v>
      </x:c>
      <x:c r="E128" s="141" t="str">
        <x:v>Low</x:v>
      </x:c>
      <x:c r="F128" s="141" t="n">
        <x:v>37</x:v>
      </x:c>
      <x:c r="G128" s="141" t="n">
        <x:v>40</x:v>
      </x:c>
      <x:c r="H128" s="141" t="str">
        <x:v>Yes</x:v>
      </x:c>
      <x:c r="I128" s="141" t="n">
        <x:v>4</x:v>
      </x:c>
      <x:c r="J128" s="141" t="str">
        <x:v>Email</x:v>
      </x:c>
    </x:row>
    <x:row r="129">
      <x:c r="A129" s="141" t="str">
        <x:v>TKT-0124</x:v>
      </x:c>
      <x:c r="B129" s="171" t="n">
        <x:v>46145</x:v>
      </x:c>
      <x:c r="C129" s="141" t="str">
        <x:v>Q2</x:v>
      </x:c>
      <x:c r="D129" s="141" t="str">
        <x:v>Leave correction</x:v>
      </x:c>
      <x:c r="E129" s="141" t="str">
        <x:v>Low</x:v>
      </x:c>
      <x:c r="F129" s="141" t="n">
        <x:v>38</x:v>
      </x:c>
      <x:c r="G129" s="141" t="n">
        <x:v>40</x:v>
      </x:c>
      <x:c r="H129" s="141" t="str">
        <x:v>Yes</x:v>
      </x:c>
      <x:c r="I129" s="141" t="n">
        <x:v>5</x:v>
      </x:c>
      <x:c r="J129" s="141" t="str">
        <x:v>Email</x:v>
      </x:c>
    </x:row>
    <x:row r="130">
      <x:c r="A130" s="141" t="str">
        <x:v>TKT-0125</x:v>
      </x:c>
      <x:c r="B130" s="171" t="n">
        <x:v>46166</x:v>
      </x:c>
      <x:c r="C130" s="141" t="str">
        <x:v>Q2</x:v>
      </x:c>
      <x:c r="D130" s="141" t="str">
        <x:v>Grievance routing</x:v>
      </x:c>
      <x:c r="E130" s="141" t="str">
        <x:v>Medium</x:v>
      </x:c>
      <x:c r="F130" s="141" t="n">
        <x:v>23.4</x:v>
      </x:c>
      <x:c r="G130" s="141" t="n">
        <x:v>40</x:v>
      </x:c>
      <x:c r="H130" s="141" t="str">
        <x:v>Yes</x:v>
      </x:c>
      <x:c r="I130" s="141" t="n">
        <x:v>4</x:v>
      </x:c>
      <x:c r="J130" s="141" t="str">
        <x:v>Email</x:v>
      </x:c>
    </x:row>
    <x:row r="131">
      <x:c r="A131" s="141" t="str">
        <x:v>TKT-0126</x:v>
      </x:c>
      <x:c r="B131" s="171" t="n">
        <x:v>46163</x:v>
      </x:c>
      <x:c r="C131" s="141" t="str">
        <x:v>Q2</x:v>
      </x:c>
      <x:c r="D131" s="141" t="str">
        <x:v>Benefit query</x:v>
      </x:c>
      <x:c r="E131" s="141" t="str">
        <x:v>Medium</x:v>
      </x:c>
      <x:c r="F131" s="141" t="n">
        <x:v>86.5</x:v>
      </x:c>
      <x:c r="G131" s="141" t="n">
        <x:v>40</x:v>
      </x:c>
      <x:c r="H131" s="141" t="str">
        <x:v>No</x:v>
      </x:c>
      <x:c r="I131" s="141" t="n">
        <x:v>2</x:v>
      </x:c>
      <x:c r="J131" s="141" t="str">
        <x:v>Email</x:v>
      </x:c>
    </x:row>
    <x:row r="132">
      <x:c r="A132" s="141" t="str">
        <x:v>TKT-0127</x:v>
      </x:c>
      <x:c r="B132" s="171" t="n">
        <x:v>46164</x:v>
      </x:c>
      <x:c r="C132" s="141" t="str">
        <x:v>Q2</x:v>
      </x:c>
      <x:c r="D132" s="141" t="str">
        <x:v>Payroll query</x:v>
      </x:c>
      <x:c r="E132" s="141" t="str">
        <x:v>Low</x:v>
      </x:c>
      <x:c r="F132" s="141" t="n">
        <x:v>30.2</x:v>
      </x:c>
      <x:c r="G132" s="141" t="n">
        <x:v>40</x:v>
      </x:c>
      <x:c r="H132" s="141" t="str">
        <x:v>Yes</x:v>
      </x:c>
      <x:c r="I132" s="141" t="n">
        <x:v>5</x:v>
      </x:c>
      <x:c r="J132" s="141" t="str">
        <x:v>Manager referral</x:v>
      </x:c>
    </x:row>
    <x:row r="133">
      <x:c r="A133" s="141" t="str">
        <x:v>TKT-0128</x:v>
      </x:c>
      <x:c r="B133" s="171" t="n">
        <x:v>46154</x:v>
      </x:c>
      <x:c r="C133" s="141" t="str">
        <x:v>Q2</x:v>
      </x:c>
      <x:c r="D133" s="141" t="str">
        <x:v>Grievance routing</x:v>
      </x:c>
      <x:c r="E133" s="141" t="str">
        <x:v>Medium</x:v>
      </x:c>
      <x:c r="F133" s="141" t="n">
        <x:v>73.8</x:v>
      </x:c>
      <x:c r="G133" s="141" t="n">
        <x:v>40</x:v>
      </x:c>
      <x:c r="H133" s="141" t="str">
        <x:v>No</x:v>
      </x:c>
      <x:c r="I133" s="141" t="n">
        <x:v>3</x:v>
      </x:c>
      <x:c r="J133" s="141" t="str">
        <x:v>HRIS</x:v>
      </x:c>
    </x:row>
    <x:row r="134">
      <x:c r="A134" s="141" t="str">
        <x:v>TKT-0129</x:v>
      </x:c>
      <x:c r="B134" s="171" t="n">
        <x:v>46145</x:v>
      </x:c>
      <x:c r="C134" s="141" t="str">
        <x:v>Q2</x:v>
      </x:c>
      <x:c r="D134" s="141" t="str">
        <x:v>Leave correction</x:v>
      </x:c>
      <x:c r="E134" s="141" t="str">
        <x:v>Low</x:v>
      </x:c>
      <x:c r="F134" s="141" t="n">
        <x:v>5.1</x:v>
      </x:c>
      <x:c r="G134" s="141" t="n">
        <x:v>40</x:v>
      </x:c>
      <x:c r="H134" s="141" t="str">
        <x:v>Yes</x:v>
      </x:c>
      <x:c r="I134" s="141" t="n">
        <x:v>4</x:v>
      </x:c>
      <x:c r="J134" s="141" t="str">
        <x:v>Manager referral</x:v>
      </x:c>
    </x:row>
    <x:row r="135">
      <x:c r="A135" s="141" t="str">
        <x:v>TKT-0130</x:v>
      </x:c>
      <x:c r="B135" s="171" t="n">
        <x:v>46170</x:v>
      </x:c>
      <x:c r="C135" s="141" t="str">
        <x:v>Q2</x:v>
      </x:c>
      <x:c r="D135" s="141" t="str">
        <x:v>Benefit query</x:v>
      </x:c>
      <x:c r="E135" s="141" t="str">
        <x:v>High</x:v>
      </x:c>
      <x:c r="F135" s="141" t="n">
        <x:v>98.7</x:v>
      </x:c>
      <x:c r="G135" s="141" t="n">
        <x:v>40</x:v>
      </x:c>
      <x:c r="H135" s="141" t="str">
        <x:v>No</x:v>
      </x:c>
      <x:c r="I135" s="141" t="n">
        <x:v>2</x:v>
      </x:c>
      <x:c r="J135" s="141" t="str">
        <x:v>Manager referral</x:v>
      </x:c>
    </x:row>
    <x:row r="136">
      <x:c r="A136" s="141" t="str">
        <x:v>TKT-0131</x:v>
      </x:c>
      <x:c r="B136" s="171" t="n">
        <x:v>46151</x:v>
      </x:c>
      <x:c r="C136" s="141" t="str">
        <x:v>Q2</x:v>
      </x:c>
      <x:c r="D136" s="141" t="str">
        <x:v>Attendance correction</x:v>
      </x:c>
      <x:c r="E136" s="141" t="str">
        <x:v>High</x:v>
      </x:c>
      <x:c r="F136" s="141" t="n">
        <x:v>37.9</x:v>
      </x:c>
      <x:c r="G136" s="141" t="n">
        <x:v>40</x:v>
      </x:c>
      <x:c r="H136" s="141" t="str">
        <x:v>Yes</x:v>
      </x:c>
      <x:c r="I136" s="141" t="n">
        <x:v>4</x:v>
      </x:c>
      <x:c r="J136" s="141" t="str">
        <x:v>Manager referral</x:v>
      </x:c>
    </x:row>
    <x:row r="137">
      <x:c r="A137" s="141" t="str">
        <x:v>TKT-0132</x:v>
      </x:c>
      <x:c r="B137" s="171" t="n">
        <x:v>46157</x:v>
      </x:c>
      <x:c r="C137" s="141" t="str">
        <x:v>Q2</x:v>
      </x:c>
      <x:c r="D137" s="141" t="str">
        <x:v>Leave correction</x:v>
      </x:c>
      <x:c r="E137" s="141" t="str">
        <x:v>Low</x:v>
      </x:c>
      <x:c r="F137" s="141" t="n">
        <x:v>85.3</x:v>
      </x:c>
      <x:c r="G137" s="141" t="n">
        <x:v>40</x:v>
      </x:c>
      <x:c r="H137" s="141" t="str">
        <x:v>No</x:v>
      </x:c>
      <x:c r="I137" s="141" t="n">
        <x:v>3</x:v>
      </x:c>
      <x:c r="J137" s="141" t="str">
        <x:v>HRIS</x:v>
      </x:c>
    </x:row>
    <x:row r="138">
      <x:c r="A138" s="141" t="str">
        <x:v>TKT-0133</x:v>
      </x:c>
      <x:c r="B138" s="171" t="n">
        <x:v>46147</x:v>
      </x:c>
      <x:c r="C138" s="141" t="str">
        <x:v>Q2</x:v>
      </x:c>
      <x:c r="D138" s="141" t="str">
        <x:v>Payroll query</x:v>
      </x:c>
      <x:c r="E138" s="141" t="str">
        <x:v>Medium</x:v>
      </x:c>
      <x:c r="F138" s="141" t="n">
        <x:v>7.6</x:v>
      </x:c>
      <x:c r="G138" s="141" t="n">
        <x:v>40</x:v>
      </x:c>
      <x:c r="H138" s="141" t="str">
        <x:v>Yes</x:v>
      </x:c>
      <x:c r="I138" s="141" t="n">
        <x:v>5</x:v>
      </x:c>
      <x:c r="J138" s="141" t="str">
        <x:v>Email</x:v>
      </x:c>
    </x:row>
    <x:row r="139">
      <x:c r="A139" s="141" t="str">
        <x:v>TKT-0134</x:v>
      </x:c>
      <x:c r="B139" s="171" t="n">
        <x:v>46163</x:v>
      </x:c>
      <x:c r="C139" s="141" t="str">
        <x:v>Q2</x:v>
      </x:c>
      <x:c r="D139" s="141" t="str">
        <x:v>Grievance routing</x:v>
      </x:c>
      <x:c r="E139" s="141" t="str">
        <x:v>Medium</x:v>
      </x:c>
      <x:c r="F139" s="141" t="n">
        <x:v>16.3</x:v>
      </x:c>
      <x:c r="G139" s="141" t="n">
        <x:v>40</x:v>
      </x:c>
      <x:c r="H139" s="141" t="str">
        <x:v>Yes</x:v>
      </x:c>
      <x:c r="I139" s="141" t="n">
        <x:v>5</x:v>
      </x:c>
      <x:c r="J139" s="141" t="str">
        <x:v>Walk-in</x:v>
      </x:c>
    </x:row>
    <x:row r="140">
      <x:c r="A140" s="141" t="str">
        <x:v>TKT-0135</x:v>
      </x:c>
      <x:c r="B140" s="171" t="n">
        <x:v>46157</x:v>
      </x:c>
      <x:c r="C140" s="141" t="str">
        <x:v>Q2</x:v>
      </x:c>
      <x:c r="D140" s="141" t="str">
        <x:v>Benefit query</x:v>
      </x:c>
      <x:c r="E140" s="141" t="str">
        <x:v>Low</x:v>
      </x:c>
      <x:c r="F140" s="141" t="n">
        <x:v>38.4</x:v>
      </x:c>
      <x:c r="G140" s="141" t="n">
        <x:v>40</x:v>
      </x:c>
      <x:c r="H140" s="141" t="str">
        <x:v>Yes</x:v>
      </x:c>
      <x:c r="I140" s="141" t="n">
        <x:v>4</x:v>
      </x:c>
      <x:c r="J140" s="141" t="str">
        <x:v>Walk-in</x:v>
      </x:c>
    </x:row>
    <x:row r="141">
      <x:c r="A141" s="141" t="str">
        <x:v>TKT-0136</x:v>
      </x:c>
      <x:c r="B141" s="171" t="n">
        <x:v>46162</x:v>
      </x:c>
      <x:c r="C141" s="141" t="str">
        <x:v>Q2</x:v>
      </x:c>
      <x:c r="D141" s="141" t="str">
        <x:v>Benefit query</x:v>
      </x:c>
      <x:c r="E141" s="141" t="str">
        <x:v>High</x:v>
      </x:c>
      <x:c r="F141" s="141" t="n">
        <x:v>30.3</x:v>
      </x:c>
      <x:c r="G141" s="141" t="n">
        <x:v>40</x:v>
      </x:c>
      <x:c r="H141" s="141" t="str">
        <x:v>Yes</x:v>
      </x:c>
      <x:c r="I141" s="141" t="n">
        <x:v>5</x:v>
      </x:c>
      <x:c r="J141" s="141" t="str">
        <x:v>Email</x:v>
      </x:c>
    </x:row>
    <x:row r="142">
      <x:c r="A142" s="141" t="str">
        <x:v>TKT-0137</x:v>
      </x:c>
      <x:c r="B142" s="171" t="n">
        <x:v>46152</x:v>
      </x:c>
      <x:c r="C142" s="141" t="str">
        <x:v>Q2</x:v>
      </x:c>
      <x:c r="D142" s="141" t="str">
        <x:v>Grievance routing</x:v>
      </x:c>
      <x:c r="E142" s="141" t="str">
        <x:v>High</x:v>
      </x:c>
      <x:c r="F142" s="141" t="n">
        <x:v>22.4</x:v>
      </x:c>
      <x:c r="G142" s="141" t="n">
        <x:v>40</x:v>
      </x:c>
      <x:c r="H142" s="141" t="str">
        <x:v>Yes</x:v>
      </x:c>
      <x:c r="I142" s="141" t="n">
        <x:v>5</x:v>
      </x:c>
      <x:c r="J142" s="141" t="str">
        <x:v>HRIS</x:v>
      </x:c>
    </x:row>
    <x:row r="143">
      <x:c r="A143" s="141" t="str">
        <x:v>TKT-0138</x:v>
      </x:c>
      <x:c r="B143" s="171" t="n">
        <x:v>46160</x:v>
      </x:c>
      <x:c r="C143" s="141" t="str">
        <x:v>Q2</x:v>
      </x:c>
      <x:c r="D143" s="141" t="str">
        <x:v>Employee letter</x:v>
      </x:c>
      <x:c r="E143" s="141" t="str">
        <x:v>Low</x:v>
      </x:c>
      <x:c r="F143" s="141" t="n">
        <x:v>38.8</x:v>
      </x:c>
      <x:c r="G143" s="141" t="n">
        <x:v>40</x:v>
      </x:c>
      <x:c r="H143" s="141" t="str">
        <x:v>Yes</x:v>
      </x:c>
      <x:c r="I143" s="141" t="n">
        <x:v>4</x:v>
      </x:c>
      <x:c r="J143" s="141" t="str">
        <x:v>Walk-in</x:v>
      </x:c>
    </x:row>
    <x:row r="144">
      <x:c r="A144" s="141" t="str">
        <x:v>TKT-0139</x:v>
      </x:c>
      <x:c r="B144" s="171" t="n">
        <x:v>46171</x:v>
      </x:c>
      <x:c r="C144" s="141" t="str">
        <x:v>Q2</x:v>
      </x:c>
      <x:c r="D144" s="141" t="str">
        <x:v>Attendance correction</x:v>
      </x:c>
      <x:c r="E144" s="141" t="str">
        <x:v>Medium</x:v>
      </x:c>
      <x:c r="F144" s="141" t="n">
        <x:v>19.7</x:v>
      </x:c>
      <x:c r="G144" s="141" t="n">
        <x:v>40</x:v>
      </x:c>
      <x:c r="H144" s="141" t="str">
        <x:v>Yes</x:v>
      </x:c>
      <x:c r="I144" s="141" t="n">
        <x:v>4</x:v>
      </x:c>
      <x:c r="J144" s="141" t="str">
        <x:v>Email</x:v>
      </x:c>
    </x:row>
    <x:row r="145">
      <x:c r="A145" s="141" t="str">
        <x:v>TKT-0140</x:v>
      </x:c>
      <x:c r="B145" s="171" t="n">
        <x:v>46146</x:v>
      </x:c>
      <x:c r="C145" s="141" t="str">
        <x:v>Q2</x:v>
      </x:c>
      <x:c r="D145" s="141" t="str">
        <x:v>Leave correction</x:v>
      </x:c>
      <x:c r="E145" s="141" t="str">
        <x:v>Low</x:v>
      </x:c>
      <x:c r="F145" s="141" t="n">
        <x:v>24</x:v>
      </x:c>
      <x:c r="G145" s="141" t="n">
        <x:v>40</x:v>
      </x:c>
      <x:c r="H145" s="141" t="str">
        <x:v>Yes</x:v>
      </x:c>
      <x:c r="I145" s="141" t="n">
        <x:v>4</x:v>
      </x:c>
      <x:c r="J145" s="141" t="str">
        <x:v>HRIS</x:v>
      </x:c>
    </x:row>
    <x:row r="146">
      <x:c r="A146" s="141" t="str">
        <x:v>TKT-0141</x:v>
      </x:c>
      <x:c r="B146" s="171" t="n">
        <x:v>46164</x:v>
      </x:c>
      <x:c r="C146" s="141" t="str">
        <x:v>Q2</x:v>
      </x:c>
      <x:c r="D146" s="141" t="str">
        <x:v>Employee letter</x:v>
      </x:c>
      <x:c r="E146" s="141" t="str">
        <x:v>Low</x:v>
      </x:c>
      <x:c r="F146" s="141" t="n">
        <x:v>23.2</x:v>
      </x:c>
      <x:c r="G146" s="141" t="n">
        <x:v>40</x:v>
      </x:c>
      <x:c r="H146" s="141" t="str">
        <x:v>Yes</x:v>
      </x:c>
      <x:c r="I146" s="141" t="n">
        <x:v>4</x:v>
      </x:c>
      <x:c r="J146" s="141" t="str">
        <x:v>Walk-in</x:v>
      </x:c>
    </x:row>
    <x:row r="147">
      <x:c r="A147" s="141" t="str">
        <x:v>TKT-0142</x:v>
      </x:c>
      <x:c r="B147" s="171" t="n">
        <x:v>46146</x:v>
      </x:c>
      <x:c r="C147" s="141" t="str">
        <x:v>Q2</x:v>
      </x:c>
      <x:c r="D147" s="141" t="str">
        <x:v>Leave correction</x:v>
      </x:c>
      <x:c r="E147" s="141" t="str">
        <x:v>Low</x:v>
      </x:c>
      <x:c r="F147" s="141" t="n">
        <x:v>21.2</x:v>
      </x:c>
      <x:c r="G147" s="141" t="n">
        <x:v>40</x:v>
      </x:c>
      <x:c r="H147" s="141" t="str">
        <x:v>Yes</x:v>
      </x:c>
      <x:c r="I147" s="141" t="n">
        <x:v>4</x:v>
      </x:c>
      <x:c r="J147" s="141" t="str">
        <x:v>Manager referral</x:v>
      </x:c>
    </x:row>
    <x:row r="148">
      <x:c r="A148" s="141" t="str">
        <x:v>TKT-0143</x:v>
      </x:c>
      <x:c r="B148" s="171" t="n">
        <x:v>46159</x:v>
      </x:c>
      <x:c r="C148" s="141" t="str">
        <x:v>Q2</x:v>
      </x:c>
      <x:c r="D148" s="141" t="str">
        <x:v>Leave correction</x:v>
      </x:c>
      <x:c r="E148" s="141" t="str">
        <x:v>Low</x:v>
      </x:c>
      <x:c r="F148" s="141" t="n">
        <x:v>5.1</x:v>
      </x:c>
      <x:c r="G148" s="141" t="n">
        <x:v>40</x:v>
      </x:c>
      <x:c r="H148" s="141" t="str">
        <x:v>Yes</x:v>
      </x:c>
      <x:c r="I148" s="141" t="n">
        <x:v>4</x:v>
      </x:c>
      <x:c r="J148" s="141" t="str">
        <x:v>Walk-in</x:v>
      </x:c>
    </x:row>
    <x:row r="149">
      <x:c r="A149" s="141" t="str">
        <x:v>TKT-0144</x:v>
      </x:c>
      <x:c r="B149" s="171" t="n">
        <x:v>46148</x:v>
      </x:c>
      <x:c r="C149" s="141" t="str">
        <x:v>Q2</x:v>
      </x:c>
      <x:c r="D149" s="141" t="str">
        <x:v>Leave correction</x:v>
      </x:c>
      <x:c r="E149" s="141" t="str">
        <x:v>Low</x:v>
      </x:c>
      <x:c r="F149" s="141" t="n">
        <x:v>9.4</x:v>
      </x:c>
      <x:c r="G149" s="141" t="n">
        <x:v>40</x:v>
      </x:c>
      <x:c r="H149" s="141" t="str">
        <x:v>Yes</x:v>
      </x:c>
      <x:c r="I149" s="141" t="n">
        <x:v>5</x:v>
      </x:c>
      <x:c r="J149" s="141" t="str">
        <x:v>HRIS</x:v>
      </x:c>
    </x:row>
    <x:row r="150">
      <x:c r="A150" s="141" t="str">
        <x:v>TKT-0145</x:v>
      </x:c>
      <x:c r="B150" s="171" t="n">
        <x:v>46157</x:v>
      </x:c>
      <x:c r="C150" s="141" t="str">
        <x:v>Q2</x:v>
      </x:c>
      <x:c r="D150" s="141" t="str">
        <x:v>HRIS access</x:v>
      </x:c>
      <x:c r="E150" s="141" t="str">
        <x:v>Low</x:v>
      </x:c>
      <x:c r="F150" s="141" t="n">
        <x:v>13.1</x:v>
      </x:c>
      <x:c r="G150" s="141" t="n">
        <x:v>40</x:v>
      </x:c>
      <x:c r="H150" s="141" t="str">
        <x:v>Yes</x:v>
      </x:c>
      <x:c r="I150" s="141" t="n">
        <x:v>5</x:v>
      </x:c>
      <x:c r="J150" s="141" t="str">
        <x:v>Manager referral</x:v>
      </x:c>
    </x:row>
    <x:row r="151">
      <x:c r="A151" s="141" t="str">
        <x:v>TKT-0146</x:v>
      </x:c>
      <x:c r="B151" s="171" t="n">
        <x:v>46151</x:v>
      </x:c>
      <x:c r="C151" s="141" t="str">
        <x:v>Q2</x:v>
      </x:c>
      <x:c r="D151" s="141" t="str">
        <x:v>Benefit query</x:v>
      </x:c>
      <x:c r="E151" s="141" t="str">
        <x:v>Medium</x:v>
      </x:c>
      <x:c r="F151" s="141" t="n">
        <x:v>32.5</x:v>
      </x:c>
      <x:c r="G151" s="141" t="n">
        <x:v>40</x:v>
      </x:c>
      <x:c r="H151" s="141" t="str">
        <x:v>Yes</x:v>
      </x:c>
      <x:c r="I151" s="141" t="n">
        <x:v>4</x:v>
      </x:c>
      <x:c r="J151" s="141" t="str">
        <x:v>Email</x:v>
      </x:c>
    </x:row>
    <x:row r="152">
      <x:c r="A152" s="141" t="str">
        <x:v>TKT-0147</x:v>
      </x:c>
      <x:c r="B152" s="171" t="n">
        <x:v>46169</x:v>
      </x:c>
      <x:c r="C152" s="141" t="str">
        <x:v>Q2</x:v>
      </x:c>
      <x:c r="D152" s="141" t="str">
        <x:v>Leave correction</x:v>
      </x:c>
      <x:c r="E152" s="141" t="str">
        <x:v>Medium</x:v>
      </x:c>
      <x:c r="F152" s="141" t="n">
        <x:v>90.5</x:v>
      </x:c>
      <x:c r="G152" s="141" t="n">
        <x:v>40</x:v>
      </x:c>
      <x:c r="H152" s="141" t="str">
        <x:v>No</x:v>
      </x:c>
      <x:c r="I152" s="141" t="n">
        <x:v>2</x:v>
      </x:c>
      <x:c r="J152" s="141" t="str">
        <x:v>Email</x:v>
      </x:c>
    </x:row>
    <x:row r="153">
      <x:c r="A153" s="141" t="str">
        <x:v>TKT-0148</x:v>
      </x:c>
      <x:c r="B153" s="171" t="n">
        <x:v>46193</x:v>
      </x:c>
      <x:c r="C153" s="141" t="str">
        <x:v>Q2</x:v>
      </x:c>
      <x:c r="D153" s="141" t="str">
        <x:v>Payroll query</x:v>
      </x:c>
      <x:c r="E153" s="141" t="str">
        <x:v>Medium</x:v>
      </x:c>
      <x:c r="F153" s="141" t="n">
        <x:v>78</x:v>
      </x:c>
      <x:c r="G153" s="141" t="n">
        <x:v>40</x:v>
      </x:c>
      <x:c r="H153" s="141" t="str">
        <x:v>No</x:v>
      </x:c>
      <x:c r="I153" s="141" t="n">
        <x:v>2</x:v>
      </x:c>
      <x:c r="J153" s="141" t="str">
        <x:v>HRIS</x:v>
      </x:c>
    </x:row>
    <x:row r="154">
      <x:c r="A154" s="141" t="str">
        <x:v>TKT-0149</x:v>
      </x:c>
      <x:c r="B154" s="171" t="n">
        <x:v>46192</x:v>
      </x:c>
      <x:c r="C154" s="141" t="str">
        <x:v>Q2</x:v>
      </x:c>
      <x:c r="D154" s="141" t="str">
        <x:v>Attendance correction</x:v>
      </x:c>
      <x:c r="E154" s="141" t="str">
        <x:v>Low</x:v>
      </x:c>
      <x:c r="F154" s="141" t="n">
        <x:v>14.9</x:v>
      </x:c>
      <x:c r="G154" s="141" t="n">
        <x:v>40</x:v>
      </x:c>
      <x:c r="H154" s="141" t="str">
        <x:v>Yes</x:v>
      </x:c>
      <x:c r="I154" s="141" t="n">
        <x:v>5</x:v>
      </x:c>
      <x:c r="J154" s="141" t="str">
        <x:v>HRIS</x:v>
      </x:c>
    </x:row>
    <x:row r="155">
      <x:c r="A155" s="141" t="str">
        <x:v>TKT-0150</x:v>
      </x:c>
      <x:c r="B155" s="171" t="n">
        <x:v>46191</x:v>
      </x:c>
      <x:c r="C155" s="141" t="str">
        <x:v>Q2</x:v>
      </x:c>
      <x:c r="D155" s="141" t="str">
        <x:v>Grievance routing</x:v>
      </x:c>
      <x:c r="E155" s="141" t="str">
        <x:v>Medium</x:v>
      </x:c>
      <x:c r="F155" s="141" t="n">
        <x:v>25.3</x:v>
      </x:c>
      <x:c r="G155" s="141" t="n">
        <x:v>40</x:v>
      </x:c>
      <x:c r="H155" s="141" t="str">
        <x:v>Yes</x:v>
      </x:c>
      <x:c r="I155" s="141" t="n">
        <x:v>5</x:v>
      </x:c>
      <x:c r="J155" s="141" t="str">
        <x:v>Email</x:v>
      </x:c>
    </x:row>
    <x:row r="156">
      <x:c r="A156" s="141" t="str">
        <x:v>TKT-0151</x:v>
      </x:c>
      <x:c r="B156" s="171" t="n">
        <x:v>46191</x:v>
      </x:c>
      <x:c r="C156" s="141" t="str">
        <x:v>Q2</x:v>
      </x:c>
      <x:c r="D156" s="141" t="str">
        <x:v>Payroll query</x:v>
      </x:c>
      <x:c r="E156" s="141" t="str">
        <x:v>Medium</x:v>
      </x:c>
      <x:c r="F156" s="141" t="n">
        <x:v>15</x:v>
      </x:c>
      <x:c r="G156" s="141" t="n">
        <x:v>40</x:v>
      </x:c>
      <x:c r="H156" s="141" t="str">
        <x:v>Yes</x:v>
      </x:c>
      <x:c r="I156" s="141" t="n">
        <x:v>4</x:v>
      </x:c>
      <x:c r="J156" s="141" t="str">
        <x:v>Walk-in</x:v>
      </x:c>
    </x:row>
    <x:row r="157">
      <x:c r="A157" s="141" t="str">
        <x:v>TKT-0152</x:v>
      </x:c>
      <x:c r="B157" s="171" t="n">
        <x:v>46182</x:v>
      </x:c>
      <x:c r="C157" s="141" t="str">
        <x:v>Q2</x:v>
      </x:c>
      <x:c r="D157" s="141" t="str">
        <x:v>Grievance routing</x:v>
      </x:c>
      <x:c r="E157" s="141" t="str">
        <x:v>Medium</x:v>
      </x:c>
      <x:c r="F157" s="141" t="n">
        <x:v>16.1</x:v>
      </x:c>
      <x:c r="G157" s="141" t="n">
        <x:v>40</x:v>
      </x:c>
      <x:c r="H157" s="141" t="str">
        <x:v>Yes</x:v>
      </x:c>
      <x:c r="I157" s="141" t="n">
        <x:v>4</x:v>
      </x:c>
      <x:c r="J157" s="141" t="str">
        <x:v>HRIS</x:v>
      </x:c>
    </x:row>
    <x:row r="158">
      <x:c r="A158" s="141" t="str">
        <x:v>TKT-0153</x:v>
      </x:c>
      <x:c r="B158" s="171" t="n">
        <x:v>46184</x:v>
      </x:c>
      <x:c r="C158" s="141" t="str">
        <x:v>Q2</x:v>
      </x:c>
      <x:c r="D158" s="141" t="str">
        <x:v>Benefit query</x:v>
      </x:c>
      <x:c r="E158" s="141" t="str">
        <x:v>Low</x:v>
      </x:c>
      <x:c r="F158" s="141" t="n">
        <x:v>4.8</x:v>
      </x:c>
      <x:c r="G158" s="141" t="n">
        <x:v>40</x:v>
      </x:c>
      <x:c r="H158" s="141" t="str">
        <x:v>Yes</x:v>
      </x:c>
      <x:c r="I158" s="141" t="n">
        <x:v>4</x:v>
      </x:c>
      <x:c r="J158" s="141" t="str">
        <x:v>HRIS</x:v>
      </x:c>
    </x:row>
    <x:row r="159">
      <x:c r="A159" s="141" t="str">
        <x:v>TKT-0154</x:v>
      </x:c>
      <x:c r="B159" s="171" t="n">
        <x:v>46198</x:v>
      </x:c>
      <x:c r="C159" s="141" t="str">
        <x:v>Q2</x:v>
      </x:c>
      <x:c r="D159" s="141" t="str">
        <x:v>Attendance correction</x:v>
      </x:c>
      <x:c r="E159" s="141" t="str">
        <x:v>Medium</x:v>
      </x:c>
      <x:c r="F159" s="141" t="n">
        <x:v>9.9</x:v>
      </x:c>
      <x:c r="G159" s="141" t="n">
        <x:v>40</x:v>
      </x:c>
      <x:c r="H159" s="141" t="str">
        <x:v>Yes</x:v>
      </x:c>
      <x:c r="I159" s="141" t="n">
        <x:v>5</x:v>
      </x:c>
      <x:c r="J159" s="141" t="str">
        <x:v>HRIS</x:v>
      </x:c>
    </x:row>
    <x:row r="160">
      <x:c r="A160" s="141" t="str">
        <x:v>TKT-0155</x:v>
      </x:c>
      <x:c r="B160" s="171" t="n">
        <x:v>46199</x:v>
      </x:c>
      <x:c r="C160" s="141" t="str">
        <x:v>Q2</x:v>
      </x:c>
      <x:c r="D160" s="141" t="str">
        <x:v>Employee letter</x:v>
      </x:c>
      <x:c r="E160" s="141" t="str">
        <x:v>Medium</x:v>
      </x:c>
      <x:c r="F160" s="141" t="n">
        <x:v>29.1</x:v>
      </x:c>
      <x:c r="G160" s="141" t="n">
        <x:v>40</x:v>
      </x:c>
      <x:c r="H160" s="141" t="str">
        <x:v>Yes</x:v>
      </x:c>
      <x:c r="I160" s="141" t="n">
        <x:v>4</x:v>
      </x:c>
      <x:c r="J160" s="141" t="str">
        <x:v>HRIS</x:v>
      </x:c>
    </x:row>
    <x:row r="161">
      <x:c r="A161" s="141" t="str">
        <x:v>TKT-0156</x:v>
      </x:c>
      <x:c r="B161" s="171" t="n">
        <x:v>46195</x:v>
      </x:c>
      <x:c r="C161" s="141" t="str">
        <x:v>Q2</x:v>
      </x:c>
      <x:c r="D161" s="141" t="str">
        <x:v>Employee letter</x:v>
      </x:c>
      <x:c r="E161" s="141" t="str">
        <x:v>Low</x:v>
      </x:c>
      <x:c r="F161" s="141" t="n">
        <x:v>21.6</x:v>
      </x:c>
      <x:c r="G161" s="141" t="n">
        <x:v>40</x:v>
      </x:c>
      <x:c r="H161" s="141" t="str">
        <x:v>Yes</x:v>
      </x:c>
      <x:c r="I161" s="141" t="n">
        <x:v>4</x:v>
      </x:c>
      <x:c r="J161" s="141" t="str">
        <x:v>Walk-in</x:v>
      </x:c>
    </x:row>
    <x:row r="162">
      <x:c r="A162" s="141" t="str">
        <x:v>TKT-0157</x:v>
      </x:c>
      <x:c r="B162" s="171" t="n">
        <x:v>46183</x:v>
      </x:c>
      <x:c r="C162" s="141" t="str">
        <x:v>Q2</x:v>
      </x:c>
      <x:c r="D162" s="141" t="str">
        <x:v>Payroll query</x:v>
      </x:c>
      <x:c r="E162" s="141" t="str">
        <x:v>Low</x:v>
      </x:c>
      <x:c r="F162" s="141" t="n">
        <x:v>23</x:v>
      </x:c>
      <x:c r="G162" s="141" t="n">
        <x:v>40</x:v>
      </x:c>
      <x:c r="H162" s="141" t="str">
        <x:v>Yes</x:v>
      </x:c>
      <x:c r="I162" s="141" t="n">
        <x:v>5</x:v>
      </x:c>
      <x:c r="J162" s="141" t="str">
        <x:v>Walk-in</x:v>
      </x:c>
    </x:row>
    <x:row r="163">
      <x:c r="A163" s="141" t="str">
        <x:v>TKT-0158</x:v>
      </x:c>
      <x:c r="B163" s="171" t="n">
        <x:v>46186</x:v>
      </x:c>
      <x:c r="C163" s="141" t="str">
        <x:v>Q2</x:v>
      </x:c>
      <x:c r="D163" s="141" t="str">
        <x:v>Attendance correction</x:v>
      </x:c>
      <x:c r="E163" s="141" t="str">
        <x:v>Low</x:v>
      </x:c>
      <x:c r="F163" s="141" t="n">
        <x:v>12.8</x:v>
      </x:c>
      <x:c r="G163" s="141" t="n">
        <x:v>40</x:v>
      </x:c>
      <x:c r="H163" s="141" t="str">
        <x:v>Yes</x:v>
      </x:c>
      <x:c r="I163" s="141" t="n">
        <x:v>4</x:v>
      </x:c>
      <x:c r="J163" s="141" t="str">
        <x:v>Walk-in</x:v>
      </x:c>
    </x:row>
    <x:row r="164">
      <x:c r="A164" s="141" t="str">
        <x:v>TKT-0159</x:v>
      </x:c>
      <x:c r="B164" s="171" t="n">
        <x:v>46199</x:v>
      </x:c>
      <x:c r="C164" s="141" t="str">
        <x:v>Q2</x:v>
      </x:c>
      <x:c r="D164" s="141" t="str">
        <x:v>Leave correction</x:v>
      </x:c>
      <x:c r="E164" s="141" t="str">
        <x:v>Medium</x:v>
      </x:c>
      <x:c r="F164" s="141" t="n">
        <x:v>33.4</x:v>
      </x:c>
      <x:c r="G164" s="141" t="n">
        <x:v>40</x:v>
      </x:c>
      <x:c r="H164" s="141" t="str">
        <x:v>Yes</x:v>
      </x:c>
      <x:c r="I164" s="141" t="n">
        <x:v>4</x:v>
      </x:c>
      <x:c r="J164" s="141" t="str">
        <x:v>Email</x:v>
      </x:c>
    </x:row>
    <x:row r="165">
      <x:c r="A165" s="141" t="str">
        <x:v>TKT-0160</x:v>
      </x:c>
      <x:c r="B165" s="171" t="n">
        <x:v>46174</x:v>
      </x:c>
      <x:c r="C165" s="141" t="str">
        <x:v>Q2</x:v>
      </x:c>
      <x:c r="D165" s="141" t="str">
        <x:v>Benefit query</x:v>
      </x:c>
      <x:c r="E165" s="141" t="str">
        <x:v>Low</x:v>
      </x:c>
      <x:c r="F165" s="141" t="n">
        <x:v>32.4</x:v>
      </x:c>
      <x:c r="G165" s="141" t="n">
        <x:v>40</x:v>
      </x:c>
      <x:c r="H165" s="141" t="str">
        <x:v>Yes</x:v>
      </x:c>
      <x:c r="I165" s="141" t="n">
        <x:v>5</x:v>
      </x:c>
      <x:c r="J165" s="141" t="str">
        <x:v>Email</x:v>
      </x:c>
    </x:row>
    <x:row r="166">
      <x:c r="A166" s="141" t="str">
        <x:v>TKT-0161</x:v>
      </x:c>
      <x:c r="B166" s="171" t="n">
        <x:v>46188</x:v>
      </x:c>
      <x:c r="C166" s="141" t="str">
        <x:v>Q2</x:v>
      </x:c>
      <x:c r="D166" s="141" t="str">
        <x:v>Benefit query</x:v>
      </x:c>
      <x:c r="E166" s="141" t="str">
        <x:v>Low</x:v>
      </x:c>
      <x:c r="F166" s="141" t="n">
        <x:v>26.5</x:v>
      </x:c>
      <x:c r="G166" s="141" t="n">
        <x:v>40</x:v>
      </x:c>
      <x:c r="H166" s="141" t="str">
        <x:v>Yes</x:v>
      </x:c>
      <x:c r="I166" s="141" t="n">
        <x:v>5</x:v>
      </x:c>
      <x:c r="J166" s="141" t="str">
        <x:v>Manager referral</x:v>
      </x:c>
    </x:row>
    <x:row r="167">
      <x:c r="A167" s="141" t="str">
        <x:v>TKT-0162</x:v>
      </x:c>
      <x:c r="B167" s="171" t="n">
        <x:v>46175</x:v>
      </x:c>
      <x:c r="C167" s="141" t="str">
        <x:v>Q2</x:v>
      </x:c>
      <x:c r="D167" s="141" t="str">
        <x:v>Payroll query</x:v>
      </x:c>
      <x:c r="E167" s="141" t="str">
        <x:v>Low</x:v>
      </x:c>
      <x:c r="F167" s="141" t="n">
        <x:v>5.6</x:v>
      </x:c>
      <x:c r="G167" s="141" t="n">
        <x:v>40</x:v>
      </x:c>
      <x:c r="H167" s="141" t="str">
        <x:v>Yes</x:v>
      </x:c>
      <x:c r="I167" s="141" t="n">
        <x:v>4</x:v>
      </x:c>
      <x:c r="J167" s="141" t="str">
        <x:v>Walk-in</x:v>
      </x:c>
    </x:row>
    <x:row r="168">
      <x:c r="A168" s="141" t="str">
        <x:v>TKT-0163</x:v>
      </x:c>
      <x:c r="B168" s="171" t="n">
        <x:v>46187</x:v>
      </x:c>
      <x:c r="C168" s="141" t="str">
        <x:v>Q2</x:v>
      </x:c>
      <x:c r="D168" s="141" t="str">
        <x:v>Employee letter</x:v>
      </x:c>
      <x:c r="E168" s="141" t="str">
        <x:v>Low</x:v>
      </x:c>
      <x:c r="F168" s="141" t="n">
        <x:v>8.3</x:v>
      </x:c>
      <x:c r="G168" s="141" t="n">
        <x:v>40</x:v>
      </x:c>
      <x:c r="H168" s="141" t="str">
        <x:v>Yes</x:v>
      </x:c>
      <x:c r="I168" s="141" t="n">
        <x:v>5</x:v>
      </x:c>
      <x:c r="J168" s="141" t="str">
        <x:v>HRIS</x:v>
      </x:c>
    </x:row>
    <x:row r="169">
      <x:c r="A169" s="141" t="str">
        <x:v>TKT-0164</x:v>
      </x:c>
      <x:c r="B169" s="171" t="n">
        <x:v>46174</x:v>
      </x:c>
      <x:c r="C169" s="141" t="str">
        <x:v>Q2</x:v>
      </x:c>
      <x:c r="D169" s="141" t="str">
        <x:v>Employee letter</x:v>
      </x:c>
      <x:c r="E169" s="141" t="str">
        <x:v>High</x:v>
      </x:c>
      <x:c r="F169" s="141" t="n">
        <x:v>18.7</x:v>
      </x:c>
      <x:c r="G169" s="141" t="n">
        <x:v>40</x:v>
      </x:c>
      <x:c r="H169" s="141" t="str">
        <x:v>Yes</x:v>
      </x:c>
      <x:c r="I169" s="141" t="n">
        <x:v>4</x:v>
      </x:c>
      <x:c r="J169" s="141" t="str">
        <x:v>HRIS</x:v>
      </x:c>
    </x:row>
    <x:row r="170">
      <x:c r="A170" s="141" t="str">
        <x:v>TKT-0165</x:v>
      </x:c>
      <x:c r="B170" s="171" t="n">
        <x:v>46176</x:v>
      </x:c>
      <x:c r="C170" s="141" t="str">
        <x:v>Q2</x:v>
      </x:c>
      <x:c r="D170" s="141" t="str">
        <x:v>Payroll query</x:v>
      </x:c>
      <x:c r="E170" s="141" t="str">
        <x:v>Medium</x:v>
      </x:c>
      <x:c r="F170" s="141" t="n">
        <x:v>49.7</x:v>
      </x:c>
      <x:c r="G170" s="141" t="n">
        <x:v>40</x:v>
      </x:c>
      <x:c r="H170" s="141" t="str">
        <x:v>No</x:v>
      </x:c>
      <x:c r="I170" s="141" t="n">
        <x:v>1</x:v>
      </x:c>
      <x:c r="J170" s="141" t="str">
        <x:v>HRIS</x:v>
      </x:c>
    </x:row>
    <x:row r="171">
      <x:c r="A171" s="141" t="str">
        <x:v>TKT-0166</x:v>
      </x:c>
      <x:c r="B171" s="171" t="n">
        <x:v>46176</x:v>
      </x:c>
      <x:c r="C171" s="141" t="str">
        <x:v>Q2</x:v>
      </x:c>
      <x:c r="D171" s="141" t="str">
        <x:v>Payroll query</x:v>
      </x:c>
      <x:c r="E171" s="141" t="str">
        <x:v>Medium</x:v>
      </x:c>
      <x:c r="F171" s="141" t="n">
        <x:v>14.5</x:v>
      </x:c>
      <x:c r="G171" s="141" t="n">
        <x:v>40</x:v>
      </x:c>
      <x:c r="H171" s="141" t="str">
        <x:v>Yes</x:v>
      </x:c>
      <x:c r="I171" s="141" t="n">
        <x:v>5</x:v>
      </x:c>
      <x:c r="J171" s="141" t="str">
        <x:v>HRIS</x:v>
      </x:c>
    </x:row>
    <x:row r="172">
      <x:c r="A172" s="141" t="str">
        <x:v>TKT-0167</x:v>
      </x:c>
      <x:c r="B172" s="171" t="n">
        <x:v>46175</x:v>
      </x:c>
      <x:c r="C172" s="141" t="str">
        <x:v>Q2</x:v>
      </x:c>
      <x:c r="D172" s="141" t="str">
        <x:v>Employee letter</x:v>
      </x:c>
      <x:c r="E172" s="141" t="str">
        <x:v>Medium</x:v>
      </x:c>
      <x:c r="F172" s="141" t="n">
        <x:v>31.1</x:v>
      </x:c>
      <x:c r="G172" s="141" t="n">
        <x:v>40</x:v>
      </x:c>
      <x:c r="H172" s="141" t="str">
        <x:v>Yes</x:v>
      </x:c>
      <x:c r="I172" s="141" t="n">
        <x:v>4</x:v>
      </x:c>
      <x:c r="J172" s="141" t="str">
        <x:v>Walk-in</x:v>
      </x:c>
    </x:row>
    <x:row r="173">
      <x:c r="A173" s="141" t="str">
        <x:v>TKT-0168</x:v>
      </x:c>
      <x:c r="B173" s="171" t="n">
        <x:v>46190</x:v>
      </x:c>
      <x:c r="C173" s="141" t="str">
        <x:v>Q2</x:v>
      </x:c>
      <x:c r="D173" s="141" t="str">
        <x:v>HRIS access</x:v>
      </x:c>
      <x:c r="E173" s="141" t="str">
        <x:v>Low</x:v>
      </x:c>
      <x:c r="F173" s="141" t="n">
        <x:v>15.3</x:v>
      </x:c>
      <x:c r="G173" s="141" t="n">
        <x:v>40</x:v>
      </x:c>
      <x:c r="H173" s="141" t="str">
        <x:v>Yes</x:v>
      </x:c>
      <x:c r="I173" s="141" t="n">
        <x:v>5</x:v>
      </x:c>
      <x:c r="J173" s="141" t="str">
        <x:v>HRIS</x:v>
      </x:c>
    </x:row>
    <x:row r="174">
      <x:c r="A174" s="141" t="str">
        <x:v>TKT-0169</x:v>
      </x:c>
      <x:c r="B174" s="171" t="n">
        <x:v>46196</x:v>
      </x:c>
      <x:c r="C174" s="141" t="str">
        <x:v>Q2</x:v>
      </x:c>
      <x:c r="D174" s="141" t="str">
        <x:v>Leave correction</x:v>
      </x:c>
      <x:c r="E174" s="141" t="str">
        <x:v>High</x:v>
      </x:c>
      <x:c r="F174" s="141" t="n">
        <x:v>25</x:v>
      </x:c>
      <x:c r="G174" s="141" t="n">
        <x:v>40</x:v>
      </x:c>
      <x:c r="H174" s="141" t="str">
        <x:v>Yes</x:v>
      </x:c>
      <x:c r="I174" s="141" t="n">
        <x:v>5</x:v>
      </x:c>
      <x:c r="J174" s="141" t="str">
        <x:v>Email</x:v>
      </x:c>
    </x:row>
    <x:row r="175">
      <x:c r="A175" s="141" t="str">
        <x:v>TKT-0170</x:v>
      </x:c>
      <x:c r="B175" s="171" t="n">
        <x:v>46194</x:v>
      </x:c>
      <x:c r="C175" s="141" t="str">
        <x:v>Q2</x:v>
      </x:c>
      <x:c r="D175" s="141" t="str">
        <x:v>Grievance routing</x:v>
      </x:c>
      <x:c r="E175" s="141" t="str">
        <x:v>Low</x:v>
      </x:c>
      <x:c r="F175" s="141" t="n">
        <x:v>20.7</x:v>
      </x:c>
      <x:c r="G175" s="141" t="n">
        <x:v>40</x:v>
      </x:c>
      <x:c r="H175" s="141" t="str">
        <x:v>Yes</x:v>
      </x:c>
      <x:c r="I175" s="141" t="n">
        <x:v>5</x:v>
      </x:c>
      <x:c r="J175" s="141" t="str">
        <x:v>Walk-in</x:v>
      </x:c>
    </x:row>
    <x:row r="176">
      <x:c r="A176" s="141" t="str">
        <x:v>TKT-0171</x:v>
      </x:c>
      <x:c r="B176" s="171" t="n">
        <x:v>46188</x:v>
      </x:c>
      <x:c r="C176" s="141" t="str">
        <x:v>Q2</x:v>
      </x:c>
      <x:c r="D176" s="141" t="str">
        <x:v>Employee letter</x:v>
      </x:c>
      <x:c r="E176" s="141" t="str">
        <x:v>Low</x:v>
      </x:c>
      <x:c r="F176" s="141" t="n">
        <x:v>75.1</x:v>
      </x:c>
      <x:c r="G176" s="141" t="n">
        <x:v>40</x:v>
      </x:c>
      <x:c r="H176" s="141" t="str">
        <x:v>No</x:v>
      </x:c>
      <x:c r="I176" s="141" t="n">
        <x:v>2</x:v>
      </x:c>
      <x:c r="J176" s="141" t="str">
        <x:v>Email</x:v>
      </x:c>
    </x:row>
    <x:row r="177">
      <x:c r="A177" s="141" t="str">
        <x:v>TKT-0172</x:v>
      </x:c>
      <x:c r="B177" s="171" t="n">
        <x:v>46174</x:v>
      </x:c>
      <x:c r="C177" s="141" t="str">
        <x:v>Q2</x:v>
      </x:c>
      <x:c r="D177" s="141" t="str">
        <x:v>Benefit query</x:v>
      </x:c>
      <x:c r="E177" s="141" t="str">
        <x:v>Low</x:v>
      </x:c>
      <x:c r="F177" s="141" t="n">
        <x:v>19.4</x:v>
      </x:c>
      <x:c r="G177" s="141" t="n">
        <x:v>40</x:v>
      </x:c>
      <x:c r="H177" s="141" t="str">
        <x:v>Yes</x:v>
      </x:c>
      <x:c r="I177" s="141" t="n">
        <x:v>4</x:v>
      </x:c>
      <x:c r="J177" s="141" t="str">
        <x:v>Walk-in</x:v>
      </x:c>
    </x:row>
    <x:row r="178">
      <x:c r="A178" s="141" t="str">
        <x:v>TKT-0173</x:v>
      </x:c>
      <x:c r="B178" s="171" t="n">
        <x:v>46190</x:v>
      </x:c>
      <x:c r="C178" s="141" t="str">
        <x:v>Q2</x:v>
      </x:c>
      <x:c r="D178" s="141" t="str">
        <x:v>HRIS access</x:v>
      </x:c>
      <x:c r="E178" s="141" t="str">
        <x:v>Low</x:v>
      </x:c>
      <x:c r="F178" s="141" t="n">
        <x:v>22.5</x:v>
      </x:c>
      <x:c r="G178" s="141" t="n">
        <x:v>40</x:v>
      </x:c>
      <x:c r="H178" s="141" t="str">
        <x:v>Yes</x:v>
      </x:c>
      <x:c r="I178" s="141" t="n">
        <x:v>4</x:v>
      </x:c>
      <x:c r="J178" s="141" t="str">
        <x:v>Walk-in</x:v>
      </x:c>
    </x:row>
    <x:row r="179">
      <x:c r="A179" s="141" t="str">
        <x:v>TKT-0174</x:v>
      </x:c>
      <x:c r="B179" s="171" t="n">
        <x:v>46182</x:v>
      </x:c>
      <x:c r="C179" s="141" t="str">
        <x:v>Q2</x:v>
      </x:c>
      <x:c r="D179" s="141" t="str">
        <x:v>Attendance correction</x:v>
      </x:c>
      <x:c r="E179" s="141" t="str">
        <x:v>Medium</x:v>
      </x:c>
      <x:c r="F179" s="141" t="n">
        <x:v>5.1</x:v>
      </x:c>
      <x:c r="G179" s="141" t="n">
        <x:v>40</x:v>
      </x:c>
      <x:c r="H179" s="141" t="str">
        <x:v>Yes</x:v>
      </x:c>
      <x:c r="I179" s="141" t="n">
        <x:v>5</x:v>
      </x:c>
      <x:c r="J179" s="141" t="str">
        <x:v>Manager referral</x:v>
      </x:c>
    </x:row>
    <x:row r="180">
      <x:c r="A180" s="141" t="str">
        <x:v>TKT-0175</x:v>
      </x:c>
      <x:c r="B180" s="171" t="n">
        <x:v>46190</x:v>
      </x:c>
      <x:c r="C180" s="141" t="str">
        <x:v>Q2</x:v>
      </x:c>
      <x:c r="D180" s="141" t="str">
        <x:v>HRIS access</x:v>
      </x:c>
      <x:c r="E180" s="141" t="str">
        <x:v>Low</x:v>
      </x:c>
      <x:c r="F180" s="141" t="n">
        <x:v>11.7</x:v>
      </x:c>
      <x:c r="G180" s="141" t="n">
        <x:v>40</x:v>
      </x:c>
      <x:c r="H180" s="141" t="str">
        <x:v>Yes</x:v>
      </x:c>
      <x:c r="I180" s="141" t="n">
        <x:v>5</x:v>
      </x:c>
      <x:c r="J180" s="141" t="str">
        <x:v>HRIS</x:v>
      </x:c>
    </x:row>
    <x:row r="181">
      <x:c r="A181" s="141" t="str">
        <x:v>TKT-0176</x:v>
      </x:c>
      <x:c r="B181" s="171" t="n">
        <x:v>46194</x:v>
      </x:c>
      <x:c r="C181" s="141" t="str">
        <x:v>Q2</x:v>
      </x:c>
      <x:c r="D181" s="141" t="str">
        <x:v>Grievance routing</x:v>
      </x:c>
      <x:c r="E181" s="141" t="str">
        <x:v>Low</x:v>
      </x:c>
      <x:c r="F181" s="141" t="n">
        <x:v>34.4</x:v>
      </x:c>
      <x:c r="G181" s="141" t="n">
        <x:v>40</x:v>
      </x:c>
      <x:c r="H181" s="141" t="str">
        <x:v>Yes</x:v>
      </x:c>
      <x:c r="I181" s="141" t="n">
        <x:v>5</x:v>
      </x:c>
      <x:c r="J181" s="141" t="str">
        <x:v>Walk-in</x:v>
      </x:c>
    </x:row>
    <x:row r="182">
      <x:c r="A182" s="141" t="str">
        <x:v>TKT-0177</x:v>
      </x:c>
      <x:c r="B182" s="171" t="n">
        <x:v>46189</x:v>
      </x:c>
      <x:c r="C182" s="141" t="str">
        <x:v>Q2</x:v>
      </x:c>
      <x:c r="D182" s="141" t="str">
        <x:v>Employee letter</x:v>
      </x:c>
      <x:c r="E182" s="141" t="str">
        <x:v>Low</x:v>
      </x:c>
      <x:c r="F182" s="141" t="n">
        <x:v>9.4</x:v>
      </x:c>
      <x:c r="G182" s="141" t="n">
        <x:v>40</x:v>
      </x:c>
      <x:c r="H182" s="141" t="str">
        <x:v>Yes</x:v>
      </x:c>
      <x:c r="I182" s="141" t="n">
        <x:v>4</x:v>
      </x:c>
      <x:c r="J182" s="141" t="str">
        <x:v>Walk-in</x:v>
      </x:c>
    </x:row>
    <x:row r="183">
      <x:c r="A183" s="141" t="str">
        <x:v>TKT-0178</x:v>
      </x:c>
      <x:c r="B183" s="171" t="n">
        <x:v>46183</x:v>
      </x:c>
      <x:c r="C183" s="141" t="str">
        <x:v>Q2</x:v>
      </x:c>
      <x:c r="D183" s="141" t="str">
        <x:v>Employee letter</x:v>
      </x:c>
      <x:c r="E183" s="141" t="str">
        <x:v>Low</x:v>
      </x:c>
      <x:c r="F183" s="141" t="n">
        <x:v>4.4</x:v>
      </x:c>
      <x:c r="G183" s="141" t="n">
        <x:v>40</x:v>
      </x:c>
      <x:c r="H183" s="141" t="str">
        <x:v>Yes</x:v>
      </x:c>
      <x:c r="I183" s="141" t="n">
        <x:v>5</x:v>
      </x:c>
      <x:c r="J183" s="141" t="str">
        <x:v>Walk-in</x:v>
      </x:c>
    </x:row>
    <x:row r="184">
      <x:c r="A184" s="141" t="str">
        <x:v>TKT-0179</x:v>
      </x:c>
      <x:c r="B184" s="171" t="n">
        <x:v>46202</x:v>
      </x:c>
      <x:c r="C184" s="141" t="str">
        <x:v>Q2</x:v>
      </x:c>
      <x:c r="D184" s="141" t="str">
        <x:v>Benefit query</x:v>
      </x:c>
      <x:c r="E184" s="141" t="str">
        <x:v>Medium</x:v>
      </x:c>
      <x:c r="F184" s="141" t="n">
        <x:v>9.2</x:v>
      </x:c>
      <x:c r="G184" s="141" t="n">
        <x:v>40</x:v>
      </x:c>
      <x:c r="H184" s="141" t="str">
        <x:v>Yes</x:v>
      </x:c>
      <x:c r="I184" s="141" t="n">
        <x:v>5</x:v>
      </x:c>
      <x:c r="J184" s="141" t="str">
        <x:v>Email</x:v>
      </x:c>
    </x:row>
    <x:row r="185">
      <x:c r="A185" s="141" t="str">
        <x:v>TKT-0180</x:v>
      </x:c>
      <x:c r="B185" s="171" t="n">
        <x:v>46229</x:v>
      </x:c>
      <x:c r="C185" s="141" t="str">
        <x:v>Q3</x:v>
      </x:c>
      <x:c r="D185" s="141" t="str">
        <x:v>Employee letter</x:v>
      </x:c>
      <x:c r="E185" s="141" t="str">
        <x:v>Medium</x:v>
      </x:c>
      <x:c r="F185" s="141" t="n">
        <x:v>64</x:v>
      </x:c>
      <x:c r="G185" s="141" t="n">
        <x:v>40</x:v>
      </x:c>
      <x:c r="H185" s="141" t="str">
        <x:v>No</x:v>
      </x:c>
      <x:c r="I185" s="141" t="n">
        <x:v>2</x:v>
      </x:c>
      <x:c r="J185" s="141" t="str">
        <x:v>Manager referral</x:v>
      </x:c>
    </x:row>
    <x:row r="186">
      <x:c r="A186" s="141" t="str">
        <x:v>TKT-0181</x:v>
      </x:c>
      <x:c r="B186" s="171" t="n">
        <x:v>46219</x:v>
      </x:c>
      <x:c r="C186" s="141" t="str">
        <x:v>Q3</x:v>
      </x:c>
      <x:c r="D186" s="141" t="str">
        <x:v>Attendance correction</x:v>
      </x:c>
      <x:c r="E186" s="141" t="str">
        <x:v>Low</x:v>
      </x:c>
      <x:c r="F186" s="141" t="n">
        <x:v>34</x:v>
      </x:c>
      <x:c r="G186" s="141" t="n">
        <x:v>40</x:v>
      </x:c>
      <x:c r="H186" s="141" t="str">
        <x:v>Yes</x:v>
      </x:c>
      <x:c r="I186" s="141" t="n">
        <x:v>5</x:v>
      </x:c>
      <x:c r="J186" s="141" t="str">
        <x:v>Walk-in</x:v>
      </x:c>
    </x:row>
    <x:row r="187">
      <x:c r="A187" s="141" t="str">
        <x:v>TKT-0182</x:v>
      </x:c>
      <x:c r="B187" s="171" t="n">
        <x:v>46222</x:v>
      </x:c>
      <x:c r="C187" s="141" t="str">
        <x:v>Q3</x:v>
      </x:c>
      <x:c r="D187" s="141" t="str">
        <x:v>Attendance correction</x:v>
      </x:c>
      <x:c r="E187" s="141" t="str">
        <x:v>Low</x:v>
      </x:c>
      <x:c r="F187" s="141" t="n">
        <x:v>17.4</x:v>
      </x:c>
      <x:c r="G187" s="141" t="n">
        <x:v>40</x:v>
      </x:c>
      <x:c r="H187" s="141" t="str">
        <x:v>Yes</x:v>
      </x:c>
      <x:c r="I187" s="141" t="n">
        <x:v>4</x:v>
      </x:c>
      <x:c r="J187" s="141" t="str">
        <x:v>Email</x:v>
      </x:c>
    </x:row>
    <x:row r="188">
      <x:c r="A188" s="141" t="str">
        <x:v>TKT-0183</x:v>
      </x:c>
      <x:c r="B188" s="171" t="n">
        <x:v>46219</x:v>
      </x:c>
      <x:c r="C188" s="141" t="str">
        <x:v>Q3</x:v>
      </x:c>
      <x:c r="D188" s="141" t="str">
        <x:v>HRIS access</x:v>
      </x:c>
      <x:c r="E188" s="141" t="str">
        <x:v>Medium</x:v>
      </x:c>
      <x:c r="F188" s="141" t="n">
        <x:v>21.1</x:v>
      </x:c>
      <x:c r="G188" s="141" t="n">
        <x:v>40</x:v>
      </x:c>
      <x:c r="H188" s="141" t="str">
        <x:v>Yes</x:v>
      </x:c>
      <x:c r="I188" s="141" t="n">
        <x:v>4</x:v>
      </x:c>
      <x:c r="J188" s="141" t="str">
        <x:v>Manager referral</x:v>
      </x:c>
    </x:row>
    <x:row r="189">
      <x:c r="A189" s="141" t="str">
        <x:v>TKT-0184</x:v>
      </x:c>
      <x:c r="B189" s="171" t="n">
        <x:v>46215</x:v>
      </x:c>
      <x:c r="C189" s="141" t="str">
        <x:v>Q3</x:v>
      </x:c>
      <x:c r="D189" s="141" t="str">
        <x:v>Attendance correction</x:v>
      </x:c>
      <x:c r="E189" s="141" t="str">
        <x:v>Low</x:v>
      </x:c>
      <x:c r="F189" s="141" t="n">
        <x:v>22.5</x:v>
      </x:c>
      <x:c r="G189" s="141" t="n">
        <x:v>40</x:v>
      </x:c>
      <x:c r="H189" s="141" t="str">
        <x:v>Yes</x:v>
      </x:c>
      <x:c r="I189" s="141" t="n">
        <x:v>4</x:v>
      </x:c>
      <x:c r="J189" s="141" t="str">
        <x:v>Email</x:v>
      </x:c>
    </x:row>
    <x:row r="190">
      <x:c r="A190" s="141" t="str">
        <x:v>TKT-0185</x:v>
      </x:c>
      <x:c r="B190" s="171" t="n">
        <x:v>46204</x:v>
      </x:c>
      <x:c r="C190" s="141" t="str">
        <x:v>Q3</x:v>
      </x:c>
      <x:c r="D190" s="141" t="str">
        <x:v>Payroll query</x:v>
      </x:c>
      <x:c r="E190" s="141" t="str">
        <x:v>Low</x:v>
      </x:c>
      <x:c r="F190" s="141" t="n">
        <x:v>23.1</x:v>
      </x:c>
      <x:c r="G190" s="141" t="n">
        <x:v>40</x:v>
      </x:c>
      <x:c r="H190" s="141" t="str">
        <x:v>Yes</x:v>
      </x:c>
      <x:c r="I190" s="141" t="n">
        <x:v>5</x:v>
      </x:c>
      <x:c r="J190" s="141" t="str">
        <x:v>Email</x:v>
      </x:c>
    </x:row>
    <x:row r="191">
      <x:c r="A191" s="141" t="str">
        <x:v>TKT-0186</x:v>
      </x:c>
      <x:c r="B191" s="171" t="n">
        <x:v>46207</x:v>
      </x:c>
      <x:c r="C191" s="141" t="str">
        <x:v>Q3</x:v>
      </x:c>
      <x:c r="D191" s="141" t="str">
        <x:v>Leave correction</x:v>
      </x:c>
      <x:c r="E191" s="141" t="str">
        <x:v>High</x:v>
      </x:c>
      <x:c r="F191" s="141" t="n">
        <x:v>16.8</x:v>
      </x:c>
      <x:c r="G191" s="141" t="n">
        <x:v>40</x:v>
      </x:c>
      <x:c r="H191" s="141" t="str">
        <x:v>Yes</x:v>
      </x:c>
      <x:c r="I191" s="141" t="n">
        <x:v>5</x:v>
      </x:c>
      <x:c r="J191" s="141" t="str">
        <x:v>Email</x:v>
      </x:c>
    </x:row>
    <x:row r="192">
      <x:c r="A192" s="141" t="str">
        <x:v>TKT-0187</x:v>
      </x:c>
      <x:c r="B192" s="171" t="n">
        <x:v>46222</x:v>
      </x:c>
      <x:c r="C192" s="141" t="str">
        <x:v>Q3</x:v>
      </x:c>
      <x:c r="D192" s="141" t="str">
        <x:v>Leave correction</x:v>
      </x:c>
      <x:c r="E192" s="141" t="str">
        <x:v>High</x:v>
      </x:c>
      <x:c r="F192" s="141" t="n">
        <x:v>37.3</x:v>
      </x:c>
      <x:c r="G192" s="141" t="n">
        <x:v>40</x:v>
      </x:c>
      <x:c r="H192" s="141" t="str">
        <x:v>Yes</x:v>
      </x:c>
      <x:c r="I192" s="141" t="n">
        <x:v>4</x:v>
      </x:c>
      <x:c r="J192" s="141" t="str">
        <x:v>Email</x:v>
      </x:c>
    </x:row>
    <x:row r="193">
      <x:c r="A193" s="141" t="str">
        <x:v>TKT-0188</x:v>
      </x:c>
      <x:c r="B193" s="171" t="n">
        <x:v>46209</x:v>
      </x:c>
      <x:c r="C193" s="141" t="str">
        <x:v>Q3</x:v>
      </x:c>
      <x:c r="D193" s="141" t="str">
        <x:v>Attendance correction</x:v>
      </x:c>
      <x:c r="E193" s="141" t="str">
        <x:v>Low</x:v>
      </x:c>
      <x:c r="F193" s="141" t="n">
        <x:v>32.4</x:v>
      </x:c>
      <x:c r="G193" s="141" t="n">
        <x:v>40</x:v>
      </x:c>
      <x:c r="H193" s="141" t="str">
        <x:v>Yes</x:v>
      </x:c>
      <x:c r="I193" s="141" t="n">
        <x:v>4</x:v>
      </x:c>
      <x:c r="J193" s="141" t="str">
        <x:v>Walk-in</x:v>
      </x:c>
    </x:row>
    <x:row r="194">
      <x:c r="A194" s="141" t="str">
        <x:v>TKT-0189</x:v>
      </x:c>
      <x:c r="B194" s="171" t="n">
        <x:v>46228</x:v>
      </x:c>
      <x:c r="C194" s="141" t="str">
        <x:v>Q3</x:v>
      </x:c>
      <x:c r="D194" s="141" t="str">
        <x:v>Benefit query</x:v>
      </x:c>
      <x:c r="E194" s="141" t="str">
        <x:v>Medium</x:v>
      </x:c>
      <x:c r="F194" s="141" t="n">
        <x:v>55.2</x:v>
      </x:c>
      <x:c r="G194" s="141" t="n">
        <x:v>40</x:v>
      </x:c>
      <x:c r="H194" s="141" t="str">
        <x:v>No</x:v>
      </x:c>
      <x:c r="I194" s="141" t="n">
        <x:v>2</x:v>
      </x:c>
      <x:c r="J194" s="141" t="str">
        <x:v>Walk-in</x:v>
      </x:c>
    </x:row>
    <x:row r="195">
      <x:c r="A195" s="141" t="str">
        <x:v>TKT-0190</x:v>
      </x:c>
      <x:c r="B195" s="171" t="n">
        <x:v>46207</x:v>
      </x:c>
      <x:c r="C195" s="141" t="str">
        <x:v>Q3</x:v>
      </x:c>
      <x:c r="D195" s="141" t="str">
        <x:v>Grievance routing</x:v>
      </x:c>
      <x:c r="E195" s="141" t="str">
        <x:v>Low</x:v>
      </x:c>
      <x:c r="F195" s="141" t="n">
        <x:v>15.3</x:v>
      </x:c>
      <x:c r="G195" s="141" t="n">
        <x:v>40</x:v>
      </x:c>
      <x:c r="H195" s="141" t="str">
        <x:v>Yes</x:v>
      </x:c>
      <x:c r="I195" s="141" t="n">
        <x:v>4</x:v>
      </x:c>
      <x:c r="J195" s="141" t="str">
        <x:v>HRIS</x:v>
      </x:c>
    </x:row>
    <x:row r="196">
      <x:c r="A196" s="141" t="str">
        <x:v>TKT-0191</x:v>
      </x:c>
      <x:c r="B196" s="171" t="n">
        <x:v>46216</x:v>
      </x:c>
      <x:c r="C196" s="141" t="str">
        <x:v>Q3</x:v>
      </x:c>
      <x:c r="D196" s="141" t="str">
        <x:v>HRIS access</x:v>
      </x:c>
      <x:c r="E196" s="141" t="str">
        <x:v>High</x:v>
      </x:c>
      <x:c r="F196" s="141" t="n">
        <x:v>22.9</x:v>
      </x:c>
      <x:c r="G196" s="141" t="n">
        <x:v>40</x:v>
      </x:c>
      <x:c r="H196" s="141" t="str">
        <x:v>Yes</x:v>
      </x:c>
      <x:c r="I196" s="141" t="n">
        <x:v>5</x:v>
      </x:c>
      <x:c r="J196" s="141" t="str">
        <x:v>Walk-in</x:v>
      </x:c>
    </x:row>
    <x:row r="197">
      <x:c r="A197" s="141" t="str">
        <x:v>TKT-0192</x:v>
      </x:c>
      <x:c r="B197" s="171" t="n">
        <x:v>46221</x:v>
      </x:c>
      <x:c r="C197" s="141" t="str">
        <x:v>Q3</x:v>
      </x:c>
      <x:c r="D197" s="141" t="str">
        <x:v>Benefit query</x:v>
      </x:c>
      <x:c r="E197" s="141" t="str">
        <x:v>Medium</x:v>
      </x:c>
      <x:c r="F197" s="141" t="n">
        <x:v>13.4</x:v>
      </x:c>
      <x:c r="G197" s="141" t="n">
        <x:v>40</x:v>
      </x:c>
      <x:c r="H197" s="141" t="str">
        <x:v>Yes</x:v>
      </x:c>
      <x:c r="I197" s="141" t="n">
        <x:v>4</x:v>
      </x:c>
      <x:c r="J197" s="141" t="str">
        <x:v>Email</x:v>
      </x:c>
    </x:row>
    <x:row r="198">
      <x:c r="A198" s="141" t="str">
        <x:v>TKT-0193</x:v>
      </x:c>
      <x:c r="B198" s="171" t="n">
        <x:v>46212</x:v>
      </x:c>
      <x:c r="C198" s="141" t="str">
        <x:v>Q3</x:v>
      </x:c>
      <x:c r="D198" s="141" t="str">
        <x:v>Leave correction</x:v>
      </x:c>
      <x:c r="E198" s="141" t="str">
        <x:v>Medium</x:v>
      </x:c>
      <x:c r="F198" s="141" t="n">
        <x:v>17.8</x:v>
      </x:c>
      <x:c r="G198" s="141" t="n">
        <x:v>40</x:v>
      </x:c>
      <x:c r="H198" s="141" t="str">
        <x:v>Yes</x:v>
      </x:c>
      <x:c r="I198" s="141" t="n">
        <x:v>5</x:v>
      </x:c>
      <x:c r="J198" s="141" t="str">
        <x:v>HRIS</x:v>
      </x:c>
    </x:row>
    <x:row r="199">
      <x:c r="A199" s="141" t="str">
        <x:v>TKT-0194</x:v>
      </x:c>
      <x:c r="B199" s="171" t="n">
        <x:v>46223</x:v>
      </x:c>
      <x:c r="C199" s="141" t="str">
        <x:v>Q3</x:v>
      </x:c>
      <x:c r="D199" s="141" t="str">
        <x:v>Attendance correction</x:v>
      </x:c>
      <x:c r="E199" s="141" t="str">
        <x:v>Low</x:v>
      </x:c>
      <x:c r="F199" s="141" t="n">
        <x:v>106.5</x:v>
      </x:c>
      <x:c r="G199" s="141" t="n">
        <x:v>40</x:v>
      </x:c>
      <x:c r="H199" s="141" t="str">
        <x:v>No</x:v>
      </x:c>
      <x:c r="I199" s="141" t="n">
        <x:v>1</x:v>
      </x:c>
      <x:c r="J199" s="141" t="str">
        <x:v>Manager referral</x:v>
      </x:c>
    </x:row>
    <x:row r="200">
      <x:c r="A200" s="141" t="str">
        <x:v>TKT-0195</x:v>
      </x:c>
      <x:c r="B200" s="171" t="n">
        <x:v>46215</x:v>
      </x:c>
      <x:c r="C200" s="141" t="str">
        <x:v>Q3</x:v>
      </x:c>
      <x:c r="D200" s="141" t="str">
        <x:v>Employee letter</x:v>
      </x:c>
      <x:c r="E200" s="141" t="str">
        <x:v>Low</x:v>
      </x:c>
      <x:c r="F200" s="141" t="n">
        <x:v>32</x:v>
      </x:c>
      <x:c r="G200" s="141" t="n">
        <x:v>40</x:v>
      </x:c>
      <x:c r="H200" s="141" t="str">
        <x:v>Yes</x:v>
      </x:c>
      <x:c r="I200" s="141" t="n">
        <x:v>5</x:v>
      </x:c>
      <x:c r="J200" s="141" t="str">
        <x:v>Email</x:v>
      </x:c>
    </x:row>
    <x:row r="201">
      <x:c r="A201" s="141" t="str">
        <x:v>TKT-0196</x:v>
      </x:c>
      <x:c r="B201" s="171" t="n">
        <x:v>46222</x:v>
      </x:c>
      <x:c r="C201" s="141" t="str">
        <x:v>Q3</x:v>
      </x:c>
      <x:c r="D201" s="141" t="str">
        <x:v>Payroll query</x:v>
      </x:c>
      <x:c r="E201" s="141" t="str">
        <x:v>Medium</x:v>
      </x:c>
      <x:c r="F201" s="141" t="n">
        <x:v>35.8</x:v>
      </x:c>
      <x:c r="G201" s="141" t="n">
        <x:v>40</x:v>
      </x:c>
      <x:c r="H201" s="141" t="str">
        <x:v>Yes</x:v>
      </x:c>
      <x:c r="I201" s="141" t="n">
        <x:v>4</x:v>
      </x:c>
      <x:c r="J201" s="141" t="str">
        <x:v>Manager referral</x:v>
      </x:c>
    </x:row>
    <x:row r="202">
      <x:c r="A202" s="141" t="str">
        <x:v>TKT-0197</x:v>
      </x:c>
      <x:c r="B202" s="171" t="n">
        <x:v>46219</x:v>
      </x:c>
      <x:c r="C202" s="141" t="str">
        <x:v>Q3</x:v>
      </x:c>
      <x:c r="D202" s="141" t="str">
        <x:v>Attendance correction</x:v>
      </x:c>
      <x:c r="E202" s="141" t="str">
        <x:v>High</x:v>
      </x:c>
      <x:c r="F202" s="141" t="n">
        <x:v>33.9</x:v>
      </x:c>
      <x:c r="G202" s="141" t="n">
        <x:v>40</x:v>
      </x:c>
      <x:c r="H202" s="141" t="str">
        <x:v>Yes</x:v>
      </x:c>
      <x:c r="I202" s="141" t="n">
        <x:v>4</x:v>
      </x:c>
      <x:c r="J202" s="141" t="str">
        <x:v>Walk-in</x:v>
      </x:c>
    </x:row>
    <x:row r="203">
      <x:c r="A203" s="141" t="str">
        <x:v>TKT-0198</x:v>
      </x:c>
      <x:c r="B203" s="171" t="n">
        <x:v>46208</x:v>
      </x:c>
      <x:c r="C203" s="141" t="str">
        <x:v>Q3</x:v>
      </x:c>
      <x:c r="D203" s="141" t="str">
        <x:v>Leave correction</x:v>
      </x:c>
      <x:c r="E203" s="141" t="str">
        <x:v>Low</x:v>
      </x:c>
      <x:c r="F203" s="141" t="n">
        <x:v>17.9</x:v>
      </x:c>
      <x:c r="G203" s="141" t="n">
        <x:v>40</x:v>
      </x:c>
      <x:c r="H203" s="141" t="str">
        <x:v>Yes</x:v>
      </x:c>
      <x:c r="I203" s="141" t="n">
        <x:v>5</x:v>
      </x:c>
      <x:c r="J203" s="141" t="str">
        <x:v>HRIS</x:v>
      </x:c>
    </x:row>
    <x:row r="204">
      <x:c r="A204" s="141" t="str">
        <x:v>TKT-0199</x:v>
      </x:c>
      <x:c r="B204" s="171" t="n">
        <x:v>46229</x:v>
      </x:c>
      <x:c r="C204" s="141" t="str">
        <x:v>Q3</x:v>
      </x:c>
      <x:c r="D204" s="141" t="str">
        <x:v>Payroll query</x:v>
      </x:c>
      <x:c r="E204" s="141" t="str">
        <x:v>Medium</x:v>
      </x:c>
      <x:c r="F204" s="141" t="n">
        <x:v>10.8</x:v>
      </x:c>
      <x:c r="G204" s="141" t="n">
        <x:v>40</x:v>
      </x:c>
      <x:c r="H204" s="141" t="str">
        <x:v>Yes</x:v>
      </x:c>
      <x:c r="I204" s="141" t="n">
        <x:v>4</x:v>
      </x:c>
      <x:c r="J204" s="141" t="str">
        <x:v>Walk-in</x:v>
      </x:c>
    </x:row>
    <x:row r="205">
      <x:c r="A205" s="141" t="str">
        <x:v>TKT-0200</x:v>
      </x:c>
      <x:c r="B205" s="171" t="n">
        <x:v>46223</x:v>
      </x:c>
      <x:c r="C205" s="141" t="str">
        <x:v>Q3</x:v>
      </x:c>
      <x:c r="D205" s="141" t="str">
        <x:v>Leave correction</x:v>
      </x:c>
      <x:c r="E205" s="141" t="str">
        <x:v>Medium</x:v>
      </x:c>
      <x:c r="F205" s="141" t="n">
        <x:v>27.1</x:v>
      </x:c>
      <x:c r="G205" s="141" t="n">
        <x:v>40</x:v>
      </x:c>
      <x:c r="H205" s="141" t="str">
        <x:v>Yes</x:v>
      </x:c>
      <x:c r="I205" s="141" t="n">
        <x:v>5</x:v>
      </x:c>
      <x:c r="J205" s="141" t="str">
        <x:v>HRIS</x:v>
      </x:c>
    </x:row>
    <x:row r="206">
      <x:c r="A206" s="141" t="str">
        <x:v>TKT-0201</x:v>
      </x:c>
      <x:c r="B206" s="171" t="n">
        <x:v>46231</x:v>
      </x:c>
      <x:c r="C206" s="141" t="str">
        <x:v>Q3</x:v>
      </x:c>
      <x:c r="D206" s="141" t="str">
        <x:v>Grievance routing</x:v>
      </x:c>
      <x:c r="E206" s="141" t="str">
        <x:v>Low</x:v>
      </x:c>
      <x:c r="F206" s="141" t="n">
        <x:v>10.2</x:v>
      </x:c>
      <x:c r="G206" s="141" t="n">
        <x:v>40</x:v>
      </x:c>
      <x:c r="H206" s="141" t="str">
        <x:v>Yes</x:v>
      </x:c>
      <x:c r="I206" s="141" t="n">
        <x:v>5</x:v>
      </x:c>
      <x:c r="J206" s="141" t="str">
        <x:v>Walk-in</x:v>
      </x:c>
    </x:row>
    <x:row r="207">
      <x:c r="A207" s="141" t="str">
        <x:v>TKT-0202</x:v>
      </x:c>
      <x:c r="B207" s="171" t="n">
        <x:v>46221</x:v>
      </x:c>
      <x:c r="C207" s="141" t="str">
        <x:v>Q3</x:v>
      </x:c>
      <x:c r="D207" s="141" t="str">
        <x:v>Employee letter</x:v>
      </x:c>
      <x:c r="E207" s="141" t="str">
        <x:v>Medium</x:v>
      </x:c>
      <x:c r="F207" s="141" t="n">
        <x:v>8.9</x:v>
      </x:c>
      <x:c r="G207" s="141" t="n">
        <x:v>40</x:v>
      </x:c>
      <x:c r="H207" s="141" t="str">
        <x:v>Yes</x:v>
      </x:c>
      <x:c r="I207" s="141" t="n">
        <x:v>5</x:v>
      </x:c>
      <x:c r="J207" s="141" t="str">
        <x:v>HRIS</x:v>
      </x:c>
    </x:row>
    <x:row r="208">
      <x:c r="A208" s="141" t="str">
        <x:v>TKT-0203</x:v>
      </x:c>
      <x:c r="B208" s="171" t="n">
        <x:v>46227</x:v>
      </x:c>
      <x:c r="C208" s="141" t="str">
        <x:v>Q3</x:v>
      </x:c>
      <x:c r="D208" s="141" t="str">
        <x:v>Leave correction</x:v>
      </x:c>
      <x:c r="E208" s="141" t="str">
        <x:v>Low</x:v>
      </x:c>
      <x:c r="F208" s="141" t="n">
        <x:v>56.5</x:v>
      </x:c>
      <x:c r="G208" s="141" t="n">
        <x:v>40</x:v>
      </x:c>
      <x:c r="H208" s="141" t="str">
        <x:v>No</x:v>
      </x:c>
      <x:c r="I208" s="141" t="n">
        <x:v>3</x:v>
      </x:c>
      <x:c r="J208" s="141" t="str">
        <x:v>HRIS</x:v>
      </x:c>
    </x:row>
    <x:row r="209">
      <x:c r="A209" s="141" t="str">
        <x:v>TKT-0204</x:v>
      </x:c>
      <x:c r="B209" s="171" t="n">
        <x:v>46212</x:v>
      </x:c>
      <x:c r="C209" s="141" t="str">
        <x:v>Q3</x:v>
      </x:c>
      <x:c r="D209" s="141" t="str">
        <x:v>Benefit query</x:v>
      </x:c>
      <x:c r="E209" s="141" t="str">
        <x:v>Medium</x:v>
      </x:c>
      <x:c r="F209" s="141" t="n">
        <x:v>96.9</x:v>
      </x:c>
      <x:c r="G209" s="141" t="n">
        <x:v>40</x:v>
      </x:c>
      <x:c r="H209" s="141" t="str">
        <x:v>No</x:v>
      </x:c>
      <x:c r="I209" s="141" t="n">
        <x:v>1</x:v>
      </x:c>
      <x:c r="J209" s="141" t="str">
        <x:v>Walk-in</x:v>
      </x:c>
    </x:row>
    <x:row r="210">
      <x:c r="A210" s="141" t="str">
        <x:v>TKT-0205</x:v>
      </x:c>
      <x:c r="B210" s="171" t="n">
        <x:v>46215</x:v>
      </x:c>
      <x:c r="C210" s="141" t="str">
        <x:v>Q3</x:v>
      </x:c>
      <x:c r="D210" s="141" t="str">
        <x:v>Leave correction</x:v>
      </x:c>
      <x:c r="E210" s="141" t="str">
        <x:v>Medium</x:v>
      </x:c>
      <x:c r="F210" s="141" t="n">
        <x:v>8.1</x:v>
      </x:c>
      <x:c r="G210" s="141" t="n">
        <x:v>40</x:v>
      </x:c>
      <x:c r="H210" s="141" t="str">
        <x:v>Yes</x:v>
      </x:c>
      <x:c r="I210" s="141" t="n">
        <x:v>5</x:v>
      </x:c>
      <x:c r="J210" s="141" t="str">
        <x:v>Walk-in</x:v>
      </x:c>
    </x:row>
    <x:row r="211">
      <x:c r="A211" s="141" t="str">
        <x:v>TKT-0206</x:v>
      </x:c>
      <x:c r="B211" s="171" t="n">
        <x:v>46221</x:v>
      </x:c>
      <x:c r="C211" s="141" t="str">
        <x:v>Q3</x:v>
      </x:c>
      <x:c r="D211" s="141" t="str">
        <x:v>Benefit query</x:v>
      </x:c>
      <x:c r="E211" s="141" t="str">
        <x:v>Low</x:v>
      </x:c>
      <x:c r="F211" s="141" t="n">
        <x:v>21.9</x:v>
      </x:c>
      <x:c r="G211" s="141" t="n">
        <x:v>40</x:v>
      </x:c>
      <x:c r="H211" s="141" t="str">
        <x:v>Yes</x:v>
      </x:c>
      <x:c r="I211" s="141" t="n">
        <x:v>4</x:v>
      </x:c>
      <x:c r="J211" s="141" t="str">
        <x:v>Email</x:v>
      </x:c>
    </x:row>
    <x:row r="212">
      <x:c r="A212" s="141" t="str">
        <x:v>TKT-0207</x:v>
      </x:c>
      <x:c r="B212" s="171" t="n">
        <x:v>46212</x:v>
      </x:c>
      <x:c r="C212" s="141" t="str">
        <x:v>Q3</x:v>
      </x:c>
      <x:c r="D212" s="141" t="str">
        <x:v>Leave correction</x:v>
      </x:c>
      <x:c r="E212" s="141" t="str">
        <x:v>Low</x:v>
      </x:c>
      <x:c r="F212" s="141" t="n">
        <x:v>37.6</x:v>
      </x:c>
      <x:c r="G212" s="141" t="n">
        <x:v>40</x:v>
      </x:c>
      <x:c r="H212" s="141" t="str">
        <x:v>Yes</x:v>
      </x:c>
      <x:c r="I212" s="141" t="n">
        <x:v>4</x:v>
      </x:c>
      <x:c r="J212" s="141" t="str">
        <x:v>HRIS</x:v>
      </x:c>
    </x:row>
    <x:row r="213">
      <x:c r="A213" s="141" t="str">
        <x:v>TKT-0208</x:v>
      </x:c>
      <x:c r="B213" s="171" t="n">
        <x:v>46213</x:v>
      </x:c>
      <x:c r="C213" s="141" t="str">
        <x:v>Q3</x:v>
      </x:c>
      <x:c r="D213" s="141" t="str">
        <x:v>Leave correction</x:v>
      </x:c>
      <x:c r="E213" s="141" t="str">
        <x:v>Medium</x:v>
      </x:c>
      <x:c r="F213" s="141" t="n">
        <x:v>27.9</x:v>
      </x:c>
      <x:c r="G213" s="141" t="n">
        <x:v>40</x:v>
      </x:c>
      <x:c r="H213" s="141" t="str">
        <x:v>Yes</x:v>
      </x:c>
      <x:c r="I213" s="141" t="n">
        <x:v>4</x:v>
      </x:c>
      <x:c r="J213" s="141" t="str">
        <x:v>Walk-in</x:v>
      </x:c>
    </x:row>
    <x:row r="214">
      <x:c r="A214" s="141" t="str">
        <x:v>TKT-0209</x:v>
      </x:c>
      <x:c r="B214" s="171" t="n">
        <x:v>46241</x:v>
      </x:c>
      <x:c r="C214" s="141" t="str">
        <x:v>Q3</x:v>
      </x:c>
      <x:c r="D214" s="141" t="str">
        <x:v>Benefit query</x:v>
      </x:c>
      <x:c r="E214" s="141" t="str">
        <x:v>Medium</x:v>
      </x:c>
      <x:c r="F214" s="141" t="n">
        <x:v>5.9</x:v>
      </x:c>
      <x:c r="G214" s="141" t="n">
        <x:v>40</x:v>
      </x:c>
      <x:c r="H214" s="141" t="str">
        <x:v>Yes</x:v>
      </x:c>
      <x:c r="I214" s="141" t="n">
        <x:v>4</x:v>
      </x:c>
      <x:c r="J214" s="141" t="str">
        <x:v>Email</x:v>
      </x:c>
    </x:row>
    <x:row r="215">
      <x:c r="A215" s="141" t="str">
        <x:v>TKT-0210</x:v>
      </x:c>
      <x:c r="B215" s="171" t="n">
        <x:v>46246</x:v>
      </x:c>
      <x:c r="C215" s="141" t="str">
        <x:v>Q3</x:v>
      </x:c>
      <x:c r="D215" s="141" t="str">
        <x:v>Employee letter</x:v>
      </x:c>
      <x:c r="E215" s="141" t="str">
        <x:v>Medium</x:v>
      </x:c>
      <x:c r="F215" s="141" t="n">
        <x:v>9.2</x:v>
      </x:c>
      <x:c r="G215" s="141" t="n">
        <x:v>40</x:v>
      </x:c>
      <x:c r="H215" s="141" t="str">
        <x:v>Yes</x:v>
      </x:c>
      <x:c r="I215" s="141" t="n">
        <x:v>5</x:v>
      </x:c>
      <x:c r="J215" s="141" t="str">
        <x:v>Walk-in</x:v>
      </x:c>
    </x:row>
    <x:row r="216">
      <x:c r="A216" s="141" t="str">
        <x:v>TKT-0211</x:v>
      </x:c>
      <x:c r="B216" s="171" t="n">
        <x:v>46243</x:v>
      </x:c>
      <x:c r="C216" s="141" t="str">
        <x:v>Q3</x:v>
      </x:c>
      <x:c r="D216" s="141" t="str">
        <x:v>Benefit query</x:v>
      </x:c>
      <x:c r="E216" s="141" t="str">
        <x:v>Medium</x:v>
      </x:c>
      <x:c r="F216" s="141" t="n">
        <x:v>32.9</x:v>
      </x:c>
      <x:c r="G216" s="141" t="n">
        <x:v>40</x:v>
      </x:c>
      <x:c r="H216" s="141" t="str">
        <x:v>Yes</x:v>
      </x:c>
      <x:c r="I216" s="141" t="n">
        <x:v>5</x:v>
      </x:c>
      <x:c r="J216" s="141" t="str">
        <x:v>HRIS</x:v>
      </x:c>
    </x:row>
    <x:row r="217">
      <x:c r="A217" s="141" t="str">
        <x:v>TKT-0212</x:v>
      </x:c>
      <x:c r="B217" s="171" t="n">
        <x:v>46241</x:v>
      </x:c>
      <x:c r="C217" s="141" t="str">
        <x:v>Q3</x:v>
      </x:c>
      <x:c r="D217" s="141" t="str">
        <x:v>Benefit query</x:v>
      </x:c>
      <x:c r="E217" s="141" t="str">
        <x:v>Low</x:v>
      </x:c>
      <x:c r="F217" s="141" t="n">
        <x:v>18.5</x:v>
      </x:c>
      <x:c r="G217" s="141" t="n">
        <x:v>40</x:v>
      </x:c>
      <x:c r="H217" s="141" t="str">
        <x:v>Yes</x:v>
      </x:c>
      <x:c r="I217" s="141" t="n">
        <x:v>4</x:v>
      </x:c>
      <x:c r="J217" s="141" t="str">
        <x:v>Walk-in</x:v>
      </x:c>
    </x:row>
    <x:row r="218">
      <x:c r="A218" s="141" t="str">
        <x:v>TKT-0213</x:v>
      </x:c>
      <x:c r="B218" s="171" t="n">
        <x:v>46242</x:v>
      </x:c>
      <x:c r="C218" s="141" t="str">
        <x:v>Q3</x:v>
      </x:c>
      <x:c r="D218" s="141" t="str">
        <x:v>Payroll query</x:v>
      </x:c>
      <x:c r="E218" s="141" t="str">
        <x:v>High</x:v>
      </x:c>
      <x:c r="F218" s="141" t="n">
        <x:v>16.9</x:v>
      </x:c>
      <x:c r="G218" s="141" t="n">
        <x:v>40</x:v>
      </x:c>
      <x:c r="H218" s="141" t="str">
        <x:v>Yes</x:v>
      </x:c>
      <x:c r="I218" s="141" t="n">
        <x:v>5</x:v>
      </x:c>
      <x:c r="J218" s="141" t="str">
        <x:v>Walk-in</x:v>
      </x:c>
    </x:row>
    <x:row r="219">
      <x:c r="A219" s="141" t="str">
        <x:v>TKT-0214</x:v>
      </x:c>
      <x:c r="B219" s="171" t="n">
        <x:v>46265</x:v>
      </x:c>
      <x:c r="C219" s="141" t="str">
        <x:v>Q3</x:v>
      </x:c>
      <x:c r="D219" s="141" t="str">
        <x:v>HRIS access</x:v>
      </x:c>
      <x:c r="E219" s="141" t="str">
        <x:v>Medium</x:v>
      </x:c>
      <x:c r="F219" s="141" t="n">
        <x:v>35.4</x:v>
      </x:c>
      <x:c r="G219" s="141" t="n">
        <x:v>40</x:v>
      </x:c>
      <x:c r="H219" s="141" t="str">
        <x:v>Yes</x:v>
      </x:c>
      <x:c r="I219" s="141" t="n">
        <x:v>4</x:v>
      </x:c>
      <x:c r="J219" s="141" t="str">
        <x:v>Walk-in</x:v>
      </x:c>
    </x:row>
    <x:row r="220">
      <x:c r="A220" s="141" t="str">
        <x:v>TKT-0215</x:v>
      </x:c>
      <x:c r="B220" s="171" t="n">
        <x:v>46235</x:v>
      </x:c>
      <x:c r="C220" s="141" t="str">
        <x:v>Q3</x:v>
      </x:c>
      <x:c r="D220" s="141" t="str">
        <x:v>Grievance routing</x:v>
      </x:c>
      <x:c r="E220" s="141" t="str">
        <x:v>Medium</x:v>
      </x:c>
      <x:c r="F220" s="141" t="n">
        <x:v>8.1</x:v>
      </x:c>
      <x:c r="G220" s="141" t="n">
        <x:v>40</x:v>
      </x:c>
      <x:c r="H220" s="141" t="str">
        <x:v>Yes</x:v>
      </x:c>
      <x:c r="I220" s="141" t="n">
        <x:v>4</x:v>
      </x:c>
      <x:c r="J220" s="141" t="str">
        <x:v>Walk-in</x:v>
      </x:c>
    </x:row>
    <x:row r="221">
      <x:c r="A221" s="141" t="str">
        <x:v>TKT-0216</x:v>
      </x:c>
      <x:c r="B221" s="171" t="n">
        <x:v>46250</x:v>
      </x:c>
      <x:c r="C221" s="141" t="str">
        <x:v>Q3</x:v>
      </x:c>
      <x:c r="D221" s="141" t="str">
        <x:v>Leave correction</x:v>
      </x:c>
      <x:c r="E221" s="141" t="str">
        <x:v>Low</x:v>
      </x:c>
      <x:c r="F221" s="141" t="n">
        <x:v>43.5</x:v>
      </x:c>
      <x:c r="G221" s="141" t="n">
        <x:v>40</x:v>
      </x:c>
      <x:c r="H221" s="141" t="str">
        <x:v>No</x:v>
      </x:c>
      <x:c r="I221" s="141" t="n">
        <x:v>2</x:v>
      </x:c>
      <x:c r="J221" s="141" t="str">
        <x:v>Walk-in</x:v>
      </x:c>
    </x:row>
    <x:row r="222">
      <x:c r="A222" s="141" t="str">
        <x:v>TKT-0217</x:v>
      </x:c>
      <x:c r="B222" s="171" t="n">
        <x:v>46254</x:v>
      </x:c>
      <x:c r="C222" s="141" t="str">
        <x:v>Q3</x:v>
      </x:c>
      <x:c r="D222" s="141" t="str">
        <x:v>Attendance correction</x:v>
      </x:c>
      <x:c r="E222" s="141" t="str">
        <x:v>Medium</x:v>
      </x:c>
      <x:c r="F222" s="141" t="n">
        <x:v>25.2</x:v>
      </x:c>
      <x:c r="G222" s="141" t="n">
        <x:v>40</x:v>
      </x:c>
      <x:c r="H222" s="141" t="str">
        <x:v>Yes</x:v>
      </x:c>
      <x:c r="I222" s="141" t="n">
        <x:v>5</x:v>
      </x:c>
      <x:c r="J222" s="141" t="str">
        <x:v>Walk-in</x:v>
      </x:c>
    </x:row>
    <x:row r="223">
      <x:c r="A223" s="141" t="str">
        <x:v>TKT-0218</x:v>
      </x:c>
      <x:c r="B223" s="171" t="n">
        <x:v>46236</x:v>
      </x:c>
      <x:c r="C223" s="141" t="str">
        <x:v>Q3</x:v>
      </x:c>
      <x:c r="D223" s="141" t="str">
        <x:v>Payroll query</x:v>
      </x:c>
      <x:c r="E223" s="141" t="str">
        <x:v>Medium</x:v>
      </x:c>
      <x:c r="F223" s="141" t="n">
        <x:v>35.7</x:v>
      </x:c>
      <x:c r="G223" s="141" t="n">
        <x:v>40</x:v>
      </x:c>
      <x:c r="H223" s="141" t="str">
        <x:v>Yes</x:v>
      </x:c>
      <x:c r="I223" s="141" t="n">
        <x:v>4</x:v>
      </x:c>
      <x:c r="J223" s="141" t="str">
        <x:v>HRIS</x:v>
      </x:c>
    </x:row>
    <x:row r="224">
      <x:c r="A224" s="141" t="str">
        <x:v>TKT-0219</x:v>
      </x:c>
      <x:c r="B224" s="171" t="n">
        <x:v>46251</x:v>
      </x:c>
      <x:c r="C224" s="141" t="str">
        <x:v>Q3</x:v>
      </x:c>
      <x:c r="D224" s="141" t="str">
        <x:v>Benefit query</x:v>
      </x:c>
      <x:c r="E224" s="141" t="str">
        <x:v>Medium</x:v>
      </x:c>
      <x:c r="F224" s="141" t="n">
        <x:v>8.8</x:v>
      </x:c>
      <x:c r="G224" s="141" t="n">
        <x:v>40</x:v>
      </x:c>
      <x:c r="H224" s="141" t="str">
        <x:v>Yes</x:v>
      </x:c>
      <x:c r="I224" s="141" t="n">
        <x:v>5</x:v>
      </x:c>
      <x:c r="J224" s="141" t="str">
        <x:v>HRIS</x:v>
      </x:c>
    </x:row>
    <x:row r="225">
      <x:c r="A225" s="141" t="str">
        <x:v>TKT-0220</x:v>
      </x:c>
      <x:c r="B225" s="171" t="n">
        <x:v>46241</x:v>
      </x:c>
      <x:c r="C225" s="141" t="str">
        <x:v>Q3</x:v>
      </x:c>
      <x:c r="D225" s="141" t="str">
        <x:v>HRIS access</x:v>
      </x:c>
      <x:c r="E225" s="141" t="str">
        <x:v>Medium</x:v>
      </x:c>
      <x:c r="F225" s="141" t="n">
        <x:v>27.2</x:v>
      </x:c>
      <x:c r="G225" s="141" t="n">
        <x:v>40</x:v>
      </x:c>
      <x:c r="H225" s="141" t="str">
        <x:v>Yes</x:v>
      </x:c>
      <x:c r="I225" s="141" t="n">
        <x:v>4</x:v>
      </x:c>
      <x:c r="J225" s="141" t="str">
        <x:v>Manager referral</x:v>
      </x:c>
    </x:row>
    <x:row r="226">
      <x:c r="A226" s="141" t="str">
        <x:v>TKT-0221</x:v>
      </x:c>
      <x:c r="B226" s="171" t="n">
        <x:v>46239</x:v>
      </x:c>
      <x:c r="C226" s="141" t="str">
        <x:v>Q3</x:v>
      </x:c>
      <x:c r="D226" s="141" t="str">
        <x:v>HRIS access</x:v>
      </x:c>
      <x:c r="E226" s="141" t="str">
        <x:v>High</x:v>
      </x:c>
      <x:c r="F226" s="141" t="n">
        <x:v>17.9</x:v>
      </x:c>
      <x:c r="G226" s="141" t="n">
        <x:v>40</x:v>
      </x:c>
      <x:c r="H226" s="141" t="str">
        <x:v>Yes</x:v>
      </x:c>
      <x:c r="I226" s="141" t="n">
        <x:v>4</x:v>
      </x:c>
      <x:c r="J226" s="141" t="str">
        <x:v>Walk-in</x:v>
      </x:c>
    </x:row>
    <x:row r="227">
      <x:c r="A227" s="141" t="str">
        <x:v>TKT-0222</x:v>
      </x:c>
      <x:c r="B227" s="171" t="n">
        <x:v>46265</x:v>
      </x:c>
      <x:c r="C227" s="141" t="str">
        <x:v>Q3</x:v>
      </x:c>
      <x:c r="D227" s="141" t="str">
        <x:v>Employee letter</x:v>
      </x:c>
      <x:c r="E227" s="141" t="str">
        <x:v>Low</x:v>
      </x:c>
      <x:c r="F227" s="141" t="n">
        <x:v>11.3</x:v>
      </x:c>
      <x:c r="G227" s="141" t="n">
        <x:v>40</x:v>
      </x:c>
      <x:c r="H227" s="141" t="str">
        <x:v>Yes</x:v>
      </x:c>
      <x:c r="I227" s="141" t="n">
        <x:v>4</x:v>
      </x:c>
      <x:c r="J227" s="141" t="str">
        <x:v>HRIS</x:v>
      </x:c>
    </x:row>
    <x:row r="228">
      <x:c r="A228" s="141" t="str">
        <x:v>TKT-0223</x:v>
      </x:c>
      <x:c r="B228" s="171" t="n">
        <x:v>46264</x:v>
      </x:c>
      <x:c r="C228" s="141" t="str">
        <x:v>Q3</x:v>
      </x:c>
      <x:c r="D228" s="141" t="str">
        <x:v>HRIS access</x:v>
      </x:c>
      <x:c r="E228" s="141" t="str">
        <x:v>Low</x:v>
      </x:c>
      <x:c r="F228" s="141" t="n">
        <x:v>34.8</x:v>
      </x:c>
      <x:c r="G228" s="141" t="n">
        <x:v>40</x:v>
      </x:c>
      <x:c r="H228" s="141" t="str">
        <x:v>Yes</x:v>
      </x:c>
      <x:c r="I228" s="141" t="n">
        <x:v>5</x:v>
      </x:c>
      <x:c r="J228" s="141" t="str">
        <x:v>Walk-in</x:v>
      </x:c>
    </x:row>
    <x:row r="229">
      <x:c r="A229" s="141" t="str">
        <x:v>TKT-0224</x:v>
      </x:c>
      <x:c r="B229" s="171" t="n">
        <x:v>46248</x:v>
      </x:c>
      <x:c r="C229" s="141" t="str">
        <x:v>Q3</x:v>
      </x:c>
      <x:c r="D229" s="141" t="str">
        <x:v>HRIS access</x:v>
      </x:c>
      <x:c r="E229" s="141" t="str">
        <x:v>Medium</x:v>
      </x:c>
      <x:c r="F229" s="141" t="n">
        <x:v>21.9</x:v>
      </x:c>
      <x:c r="G229" s="141" t="n">
        <x:v>40</x:v>
      </x:c>
      <x:c r="H229" s="141" t="str">
        <x:v>Yes</x:v>
      </x:c>
      <x:c r="I229" s="141" t="n">
        <x:v>4</x:v>
      </x:c>
      <x:c r="J229" s="141" t="str">
        <x:v>Manager referral</x:v>
      </x:c>
    </x:row>
    <x:row r="230">
      <x:c r="A230" s="141" t="str">
        <x:v>TKT-0225</x:v>
      </x:c>
      <x:c r="B230" s="171" t="n">
        <x:v>46243</x:v>
      </x:c>
      <x:c r="C230" s="141" t="str">
        <x:v>Q3</x:v>
      </x:c>
      <x:c r="D230" s="141" t="str">
        <x:v>Attendance correction</x:v>
      </x:c>
      <x:c r="E230" s="141" t="str">
        <x:v>Low</x:v>
      </x:c>
      <x:c r="F230" s="141" t="n">
        <x:v>9.8</x:v>
      </x:c>
      <x:c r="G230" s="141" t="n">
        <x:v>40</x:v>
      </x:c>
      <x:c r="H230" s="141" t="str">
        <x:v>Yes</x:v>
      </x:c>
      <x:c r="I230" s="141" t="n">
        <x:v>5</x:v>
      </x:c>
      <x:c r="J230" s="141" t="str">
        <x:v>Email</x:v>
      </x:c>
    </x:row>
    <x:row r="231">
      <x:c r="A231" s="141" t="str">
        <x:v>TKT-0226</x:v>
      </x:c>
      <x:c r="B231" s="171" t="n">
        <x:v>46236</x:v>
      </x:c>
      <x:c r="C231" s="141" t="str">
        <x:v>Q3</x:v>
      </x:c>
      <x:c r="D231" s="141" t="str">
        <x:v>Benefit query</x:v>
      </x:c>
      <x:c r="E231" s="141" t="str">
        <x:v>Low</x:v>
      </x:c>
      <x:c r="F231" s="141" t="n">
        <x:v>37.4</x:v>
      </x:c>
      <x:c r="G231" s="141" t="n">
        <x:v>40</x:v>
      </x:c>
      <x:c r="H231" s="141" t="str">
        <x:v>Yes</x:v>
      </x:c>
      <x:c r="I231" s="141" t="n">
        <x:v>5</x:v>
      </x:c>
      <x:c r="J231" s="141" t="str">
        <x:v>Walk-in</x:v>
      </x:c>
    </x:row>
    <x:row r="232">
      <x:c r="A232" s="141" t="str">
        <x:v>TKT-0227</x:v>
      </x:c>
      <x:c r="B232" s="171" t="n">
        <x:v>46264</x:v>
      </x:c>
      <x:c r="C232" s="141" t="str">
        <x:v>Q3</x:v>
      </x:c>
      <x:c r="D232" s="141" t="str">
        <x:v>Employee letter</x:v>
      </x:c>
      <x:c r="E232" s="141" t="str">
        <x:v>Low</x:v>
      </x:c>
      <x:c r="F232" s="141" t="n">
        <x:v>29.2</x:v>
      </x:c>
      <x:c r="G232" s="141" t="n">
        <x:v>40</x:v>
      </x:c>
      <x:c r="H232" s="141" t="str">
        <x:v>Yes</x:v>
      </x:c>
      <x:c r="I232" s="141" t="n">
        <x:v>4</x:v>
      </x:c>
      <x:c r="J232" s="141" t="str">
        <x:v>Email</x:v>
      </x:c>
    </x:row>
    <x:row r="233">
      <x:c r="A233" s="141" t="str">
        <x:v>TKT-0228</x:v>
      </x:c>
      <x:c r="B233" s="171" t="n">
        <x:v>46246</x:v>
      </x:c>
      <x:c r="C233" s="141" t="str">
        <x:v>Q3</x:v>
      </x:c>
      <x:c r="D233" s="141" t="str">
        <x:v>Benefit query</x:v>
      </x:c>
      <x:c r="E233" s="141" t="str">
        <x:v>Low</x:v>
      </x:c>
      <x:c r="F233" s="141" t="n">
        <x:v>20</x:v>
      </x:c>
      <x:c r="G233" s="141" t="n">
        <x:v>40</x:v>
      </x:c>
      <x:c r="H233" s="141" t="str">
        <x:v>Yes</x:v>
      </x:c>
      <x:c r="I233" s="141" t="n">
        <x:v>4</x:v>
      </x:c>
      <x:c r="J233" s="141" t="str">
        <x:v>Email</x:v>
      </x:c>
    </x:row>
    <x:row r="234">
      <x:c r="A234" s="141" t="str">
        <x:v>TKT-0229</x:v>
      </x:c>
      <x:c r="B234" s="171" t="n">
        <x:v>46240</x:v>
      </x:c>
      <x:c r="C234" s="141" t="str">
        <x:v>Q3</x:v>
      </x:c>
      <x:c r="D234" s="141" t="str">
        <x:v>Grievance routing</x:v>
      </x:c>
      <x:c r="E234" s="141" t="str">
        <x:v>Medium</x:v>
      </x:c>
      <x:c r="F234" s="141" t="n">
        <x:v>34.4</x:v>
      </x:c>
      <x:c r="G234" s="141" t="n">
        <x:v>40</x:v>
      </x:c>
      <x:c r="H234" s="141" t="str">
        <x:v>Yes</x:v>
      </x:c>
      <x:c r="I234" s="141" t="n">
        <x:v>4</x:v>
      </x:c>
      <x:c r="J234" s="141" t="str">
        <x:v>HRIS</x:v>
      </x:c>
    </x:row>
    <x:row r="235">
      <x:c r="A235" s="141" t="str">
        <x:v>TKT-0230</x:v>
      </x:c>
      <x:c r="B235" s="171" t="n">
        <x:v>46239</x:v>
      </x:c>
      <x:c r="C235" s="141" t="str">
        <x:v>Q3</x:v>
      </x:c>
      <x:c r="D235" s="141" t="str">
        <x:v>Payroll query</x:v>
      </x:c>
      <x:c r="E235" s="141" t="str">
        <x:v>Medium</x:v>
      </x:c>
      <x:c r="F235" s="141" t="n">
        <x:v>96.3</x:v>
      </x:c>
      <x:c r="G235" s="141" t="n">
        <x:v>40</x:v>
      </x:c>
      <x:c r="H235" s="141" t="str">
        <x:v>No</x:v>
      </x:c>
      <x:c r="I235" s="141" t="n">
        <x:v>3</x:v>
      </x:c>
      <x:c r="J235" s="141" t="str">
        <x:v>HRIS</x:v>
      </x:c>
    </x:row>
    <x:row r="236">
      <x:c r="A236" s="141" t="str">
        <x:v>TKT-0231</x:v>
      </x:c>
      <x:c r="B236" s="171" t="n">
        <x:v>46243</x:v>
      </x:c>
      <x:c r="C236" s="141" t="str">
        <x:v>Q3</x:v>
      </x:c>
      <x:c r="D236" s="141" t="str">
        <x:v>Leave correction</x:v>
      </x:c>
      <x:c r="E236" s="141" t="str">
        <x:v>Low</x:v>
      </x:c>
      <x:c r="F236" s="141" t="n">
        <x:v>15</x:v>
      </x:c>
      <x:c r="G236" s="141" t="n">
        <x:v>40</x:v>
      </x:c>
      <x:c r="H236" s="141" t="str">
        <x:v>Yes</x:v>
      </x:c>
      <x:c r="I236" s="141" t="n">
        <x:v>5</x:v>
      </x:c>
      <x:c r="J236" s="141" t="str">
        <x:v>Walk-in</x:v>
      </x:c>
    </x:row>
    <x:row r="237">
      <x:c r="A237" s="141" t="str">
        <x:v>TKT-0232</x:v>
      </x:c>
      <x:c r="B237" s="171" t="n">
        <x:v>46246</x:v>
      </x:c>
      <x:c r="C237" s="141" t="str">
        <x:v>Q3</x:v>
      </x:c>
      <x:c r="D237" s="141" t="str">
        <x:v>Grievance routing</x:v>
      </x:c>
      <x:c r="E237" s="141" t="str">
        <x:v>Low</x:v>
      </x:c>
      <x:c r="F237" s="141" t="n">
        <x:v>35.7</x:v>
      </x:c>
      <x:c r="G237" s="141" t="n">
        <x:v>40</x:v>
      </x:c>
      <x:c r="H237" s="141" t="str">
        <x:v>Yes</x:v>
      </x:c>
      <x:c r="I237" s="141" t="n">
        <x:v>4</x:v>
      </x:c>
      <x:c r="J237" s="141" t="str">
        <x:v>Manager referral</x:v>
      </x:c>
    </x:row>
    <x:row r="238">
      <x:c r="A238" s="141" t="str">
        <x:v>TKT-0233</x:v>
      </x:c>
      <x:c r="B238" s="171" t="n">
        <x:v>46263</x:v>
      </x:c>
      <x:c r="C238" s="141" t="str">
        <x:v>Q3</x:v>
      </x:c>
      <x:c r="D238" s="141" t="str">
        <x:v>Payroll query</x:v>
      </x:c>
      <x:c r="E238" s="141" t="str">
        <x:v>Medium</x:v>
      </x:c>
      <x:c r="F238" s="141" t="n">
        <x:v>30.2</x:v>
      </x:c>
      <x:c r="G238" s="141" t="n">
        <x:v>40</x:v>
      </x:c>
      <x:c r="H238" s="141" t="str">
        <x:v>Yes</x:v>
      </x:c>
      <x:c r="I238" s="141" t="n">
        <x:v>4</x:v>
      </x:c>
      <x:c r="J238" s="141" t="str">
        <x:v>Email</x:v>
      </x:c>
    </x:row>
    <x:row r="239">
      <x:c r="A239" s="141" t="str">
        <x:v>TKT-0234</x:v>
      </x:c>
      <x:c r="B239" s="171" t="n">
        <x:v>46238</x:v>
      </x:c>
      <x:c r="C239" s="141" t="str">
        <x:v>Q3</x:v>
      </x:c>
      <x:c r="D239" s="141" t="str">
        <x:v>Employee letter</x:v>
      </x:c>
      <x:c r="E239" s="141" t="str">
        <x:v>Low</x:v>
      </x:c>
      <x:c r="F239" s="141" t="n">
        <x:v>17.2</x:v>
      </x:c>
      <x:c r="G239" s="141" t="n">
        <x:v>40</x:v>
      </x:c>
      <x:c r="H239" s="141" t="str">
        <x:v>Yes</x:v>
      </x:c>
      <x:c r="I239" s="141" t="n">
        <x:v>5</x:v>
      </x:c>
      <x:c r="J239" s="141" t="str">
        <x:v>Walk-in</x:v>
      </x:c>
    </x:row>
    <x:row r="240">
      <x:c r="A240" s="141" t="str">
        <x:v>TKT-0235</x:v>
      </x:c>
      <x:c r="B240" s="171" t="n">
        <x:v>46245</x:v>
      </x:c>
      <x:c r="C240" s="141" t="str">
        <x:v>Q3</x:v>
      </x:c>
      <x:c r="D240" s="141" t="str">
        <x:v>Attendance correction</x:v>
      </x:c>
      <x:c r="E240" s="141" t="str">
        <x:v>Medium</x:v>
      </x:c>
      <x:c r="F240" s="141" t="n">
        <x:v>38.2</x:v>
      </x:c>
      <x:c r="G240" s="141" t="n">
        <x:v>40</x:v>
      </x:c>
      <x:c r="H240" s="141" t="str">
        <x:v>Yes</x:v>
      </x:c>
      <x:c r="I240" s="141" t="n">
        <x:v>4</x:v>
      </x:c>
      <x:c r="J240" s="141" t="str">
        <x:v>Manager referral</x:v>
      </x:c>
    </x:row>
    <x:row r="241">
      <x:c r="A241" s="141" t="str">
        <x:v>TKT-0236</x:v>
      </x:c>
      <x:c r="B241" s="171" t="n">
        <x:v>46276</x:v>
      </x:c>
      <x:c r="C241" s="141" t="str">
        <x:v>Q3</x:v>
      </x:c>
      <x:c r="D241" s="141" t="str">
        <x:v>Grievance routing</x:v>
      </x:c>
      <x:c r="E241" s="141" t="str">
        <x:v>Low</x:v>
      </x:c>
      <x:c r="F241" s="141" t="n">
        <x:v>19.2</x:v>
      </x:c>
      <x:c r="G241" s="141" t="n">
        <x:v>40</x:v>
      </x:c>
      <x:c r="H241" s="141" t="str">
        <x:v>Yes</x:v>
      </x:c>
      <x:c r="I241" s="141" t="n">
        <x:v>5</x:v>
      </x:c>
      <x:c r="J241" s="141" t="str">
        <x:v>Email</x:v>
      </x:c>
    </x:row>
    <x:row r="242">
      <x:c r="A242" s="141" t="str">
        <x:v>TKT-0237</x:v>
      </x:c>
      <x:c r="B242" s="171" t="n">
        <x:v>46292</x:v>
      </x:c>
      <x:c r="C242" s="141" t="str">
        <x:v>Q3</x:v>
      </x:c>
      <x:c r="D242" s="141" t="str">
        <x:v>HRIS access</x:v>
      </x:c>
      <x:c r="E242" s="141" t="str">
        <x:v>Medium</x:v>
      </x:c>
      <x:c r="F242" s="141" t="n">
        <x:v>36.9</x:v>
      </x:c>
      <x:c r="G242" s="141" t="n">
        <x:v>40</x:v>
      </x:c>
      <x:c r="H242" s="141" t="str">
        <x:v>Yes</x:v>
      </x:c>
      <x:c r="I242" s="141" t="n">
        <x:v>4</x:v>
      </x:c>
      <x:c r="J242" s="141" t="str">
        <x:v>HRIS</x:v>
      </x:c>
    </x:row>
    <x:row r="243">
      <x:c r="A243" s="141" t="str">
        <x:v>TKT-0238</x:v>
      </x:c>
      <x:c r="B243" s="171" t="n">
        <x:v>46272</x:v>
      </x:c>
      <x:c r="C243" s="141" t="str">
        <x:v>Q3</x:v>
      </x:c>
      <x:c r="D243" s="141" t="str">
        <x:v>Benefit query</x:v>
      </x:c>
      <x:c r="E243" s="141" t="str">
        <x:v>Low</x:v>
      </x:c>
      <x:c r="F243" s="141" t="n">
        <x:v>25.6</x:v>
      </x:c>
      <x:c r="G243" s="141" t="n">
        <x:v>40</x:v>
      </x:c>
      <x:c r="H243" s="141" t="str">
        <x:v>Yes</x:v>
      </x:c>
      <x:c r="I243" s="141" t="n">
        <x:v>5</x:v>
      </x:c>
      <x:c r="J243" s="141" t="str">
        <x:v>Walk-in</x:v>
      </x:c>
    </x:row>
    <x:row r="244">
      <x:c r="A244" s="141" t="str">
        <x:v>TKT-0239</x:v>
      </x:c>
      <x:c r="B244" s="171" t="n">
        <x:v>46279</x:v>
      </x:c>
      <x:c r="C244" s="141" t="str">
        <x:v>Q3</x:v>
      </x:c>
      <x:c r="D244" s="141" t="str">
        <x:v>Leave correction</x:v>
      </x:c>
      <x:c r="E244" s="141" t="str">
        <x:v>Low</x:v>
      </x:c>
      <x:c r="F244" s="141" t="n">
        <x:v>36</x:v>
      </x:c>
      <x:c r="G244" s="141" t="n">
        <x:v>40</x:v>
      </x:c>
      <x:c r="H244" s="141" t="str">
        <x:v>Yes</x:v>
      </x:c>
      <x:c r="I244" s="141" t="n">
        <x:v>5</x:v>
      </x:c>
      <x:c r="J244" s="141" t="str">
        <x:v>HRIS</x:v>
      </x:c>
    </x:row>
    <x:row r="245">
      <x:c r="A245" s="141" t="str">
        <x:v>TKT-0240</x:v>
      </x:c>
      <x:c r="B245" s="171" t="n">
        <x:v>46283</x:v>
      </x:c>
      <x:c r="C245" s="141" t="str">
        <x:v>Q3</x:v>
      </x:c>
      <x:c r="D245" s="141" t="str">
        <x:v>Employee letter</x:v>
      </x:c>
      <x:c r="E245" s="141" t="str">
        <x:v>Medium</x:v>
      </x:c>
      <x:c r="F245" s="141" t="n">
        <x:v>12.4</x:v>
      </x:c>
      <x:c r="G245" s="141" t="n">
        <x:v>40</x:v>
      </x:c>
      <x:c r="H245" s="141" t="str">
        <x:v>Yes</x:v>
      </x:c>
      <x:c r="I245" s="141" t="n">
        <x:v>4</x:v>
      </x:c>
      <x:c r="J245" s="141" t="str">
        <x:v>Manager referral</x:v>
      </x:c>
    </x:row>
    <x:row r="246">
      <x:c r="A246" s="141" t="str">
        <x:v>TKT-0241</x:v>
      </x:c>
      <x:c r="B246" s="171" t="n">
        <x:v>46268</x:v>
      </x:c>
      <x:c r="C246" s="141" t="str">
        <x:v>Q3</x:v>
      </x:c>
      <x:c r="D246" s="141" t="str">
        <x:v>Attendance correction</x:v>
      </x:c>
      <x:c r="E246" s="141" t="str">
        <x:v>Low</x:v>
      </x:c>
      <x:c r="F246" s="141" t="n">
        <x:v>7.1</x:v>
      </x:c>
      <x:c r="G246" s="141" t="n">
        <x:v>40</x:v>
      </x:c>
      <x:c r="H246" s="141" t="str">
        <x:v>Yes</x:v>
      </x:c>
      <x:c r="I246" s="141" t="n">
        <x:v>5</x:v>
      </x:c>
      <x:c r="J246" s="141" t="str">
        <x:v>Walk-in</x:v>
      </x:c>
    </x:row>
    <x:row r="247">
      <x:c r="A247" s="141" t="str">
        <x:v>TKT-0242</x:v>
      </x:c>
      <x:c r="B247" s="171" t="n">
        <x:v>46276</x:v>
      </x:c>
      <x:c r="C247" s="141" t="str">
        <x:v>Q3</x:v>
      </x:c>
      <x:c r="D247" s="141" t="str">
        <x:v>Grievance routing</x:v>
      </x:c>
      <x:c r="E247" s="141" t="str">
        <x:v>Medium</x:v>
      </x:c>
      <x:c r="F247" s="141" t="n">
        <x:v>14.3</x:v>
      </x:c>
      <x:c r="G247" s="141" t="n">
        <x:v>40</x:v>
      </x:c>
      <x:c r="H247" s="141" t="str">
        <x:v>Yes</x:v>
      </x:c>
      <x:c r="I247" s="141" t="n">
        <x:v>4</x:v>
      </x:c>
      <x:c r="J247" s="141" t="str">
        <x:v>HRIS</x:v>
      </x:c>
    </x:row>
    <x:row r="248">
      <x:c r="A248" s="141" t="str">
        <x:v>TKT-0243</x:v>
      </x:c>
      <x:c r="B248" s="171" t="n">
        <x:v>46286</x:v>
      </x:c>
      <x:c r="C248" s="141" t="str">
        <x:v>Q3</x:v>
      </x:c>
      <x:c r="D248" s="141" t="str">
        <x:v>Attendance correction</x:v>
      </x:c>
      <x:c r="E248" s="141" t="str">
        <x:v>Low</x:v>
      </x:c>
      <x:c r="F248" s="141" t="n">
        <x:v>13.8</x:v>
      </x:c>
      <x:c r="G248" s="141" t="n">
        <x:v>40</x:v>
      </x:c>
      <x:c r="H248" s="141" t="str">
        <x:v>Yes</x:v>
      </x:c>
      <x:c r="I248" s="141" t="n">
        <x:v>4</x:v>
      </x:c>
      <x:c r="J248" s="141" t="str">
        <x:v>Walk-in</x:v>
      </x:c>
    </x:row>
    <x:row r="249">
      <x:c r="A249" s="141" t="str">
        <x:v>TKT-0244</x:v>
      </x:c>
      <x:c r="B249" s="171" t="n">
        <x:v>46288</x:v>
      </x:c>
      <x:c r="C249" s="141" t="str">
        <x:v>Q3</x:v>
      </x:c>
      <x:c r="D249" s="141" t="str">
        <x:v>Attendance correction</x:v>
      </x:c>
      <x:c r="E249" s="141" t="str">
        <x:v>High</x:v>
      </x:c>
      <x:c r="F249" s="141" t="n">
        <x:v>30.2</x:v>
      </x:c>
      <x:c r="G249" s="141" t="n">
        <x:v>40</x:v>
      </x:c>
      <x:c r="H249" s="141" t="str">
        <x:v>Yes</x:v>
      </x:c>
      <x:c r="I249" s="141" t="n">
        <x:v>4</x:v>
      </x:c>
      <x:c r="J249" s="141" t="str">
        <x:v>Email</x:v>
      </x:c>
    </x:row>
    <x:row r="250">
      <x:c r="A250" s="141" t="str">
        <x:v>TKT-0245</x:v>
      </x:c>
      <x:c r="B250" s="171" t="n">
        <x:v>46277</x:v>
      </x:c>
      <x:c r="C250" s="141" t="str">
        <x:v>Q3</x:v>
      </x:c>
      <x:c r="D250" s="141" t="str">
        <x:v>Payroll query</x:v>
      </x:c>
      <x:c r="E250" s="141" t="str">
        <x:v>Medium</x:v>
      </x:c>
      <x:c r="F250" s="141" t="n">
        <x:v>27.5</x:v>
      </x:c>
      <x:c r="G250" s="141" t="n">
        <x:v>40</x:v>
      </x:c>
      <x:c r="H250" s="141" t="str">
        <x:v>Yes</x:v>
      </x:c>
      <x:c r="I250" s="141" t="n">
        <x:v>5</x:v>
      </x:c>
      <x:c r="J250" s="141" t="str">
        <x:v>Email</x:v>
      </x:c>
    </x:row>
    <x:row r="251">
      <x:c r="A251" s="141" t="str">
        <x:v>TKT-0246</x:v>
      </x:c>
      <x:c r="B251" s="171" t="n">
        <x:v>46295</x:v>
      </x:c>
      <x:c r="C251" s="141" t="str">
        <x:v>Q3</x:v>
      </x:c>
      <x:c r="D251" s="141" t="str">
        <x:v>Benefit query</x:v>
      </x:c>
      <x:c r="E251" s="141" t="str">
        <x:v>High</x:v>
      </x:c>
      <x:c r="F251" s="141" t="n">
        <x:v>7.8</x:v>
      </x:c>
      <x:c r="G251" s="141" t="n">
        <x:v>40</x:v>
      </x:c>
      <x:c r="H251" s="141" t="str">
        <x:v>Yes</x:v>
      </x:c>
      <x:c r="I251" s="141" t="n">
        <x:v>5</x:v>
      </x:c>
      <x:c r="J251" s="141" t="str">
        <x:v>HRIS</x:v>
      </x:c>
    </x:row>
    <x:row r="252">
      <x:c r="A252" s="141" t="str">
        <x:v>TKT-0247</x:v>
      </x:c>
      <x:c r="B252" s="171" t="n">
        <x:v>46282</x:v>
      </x:c>
      <x:c r="C252" s="141" t="str">
        <x:v>Q3</x:v>
      </x:c>
      <x:c r="D252" s="141" t="str">
        <x:v>Leave correction</x:v>
      </x:c>
      <x:c r="E252" s="141" t="str">
        <x:v>High</x:v>
      </x:c>
      <x:c r="F252" s="141" t="n">
        <x:v>11.7</x:v>
      </x:c>
      <x:c r="G252" s="141" t="n">
        <x:v>40</x:v>
      </x:c>
      <x:c r="H252" s="141" t="str">
        <x:v>Yes</x:v>
      </x:c>
      <x:c r="I252" s="141" t="n">
        <x:v>5</x:v>
      </x:c>
      <x:c r="J252" s="141" t="str">
        <x:v>Walk-in</x:v>
      </x:c>
    </x:row>
    <x:row r="253">
      <x:c r="A253" s="141" t="str">
        <x:v>TKT-0248</x:v>
      </x:c>
      <x:c r="B253" s="171" t="n">
        <x:v>46274</x:v>
      </x:c>
      <x:c r="C253" s="141" t="str">
        <x:v>Q3</x:v>
      </x:c>
      <x:c r="D253" s="141" t="str">
        <x:v>Leave correction</x:v>
      </x:c>
      <x:c r="E253" s="141" t="str">
        <x:v>Medium</x:v>
      </x:c>
      <x:c r="F253" s="141" t="n">
        <x:v>5.7</x:v>
      </x:c>
      <x:c r="G253" s="141" t="n">
        <x:v>40</x:v>
      </x:c>
      <x:c r="H253" s="141" t="str">
        <x:v>Yes</x:v>
      </x:c>
      <x:c r="I253" s="141" t="n">
        <x:v>4</x:v>
      </x:c>
      <x:c r="J253" s="141" t="str">
        <x:v>HRIS</x:v>
      </x:c>
    </x:row>
    <x:row r="254">
      <x:c r="A254" s="141" t="str">
        <x:v>TKT-0249</x:v>
      </x:c>
      <x:c r="B254" s="171" t="n">
        <x:v>46274</x:v>
      </x:c>
      <x:c r="C254" s="141" t="str">
        <x:v>Q3</x:v>
      </x:c>
      <x:c r="D254" s="141" t="str">
        <x:v>Leave correction</x:v>
      </x:c>
      <x:c r="E254" s="141" t="str">
        <x:v>High</x:v>
      </x:c>
      <x:c r="F254" s="141" t="n">
        <x:v>13.1</x:v>
      </x:c>
      <x:c r="G254" s="141" t="n">
        <x:v>40</x:v>
      </x:c>
      <x:c r="H254" s="141" t="str">
        <x:v>Yes</x:v>
      </x:c>
      <x:c r="I254" s="141" t="n">
        <x:v>5</x:v>
      </x:c>
      <x:c r="J254" s="141" t="str">
        <x:v>Walk-in</x:v>
      </x:c>
    </x:row>
    <x:row r="255">
      <x:c r="A255" s="141" t="str">
        <x:v>TKT-0250</x:v>
      </x:c>
      <x:c r="B255" s="171" t="n">
        <x:v>46286</x:v>
      </x:c>
      <x:c r="C255" s="141" t="str">
        <x:v>Q3</x:v>
      </x:c>
      <x:c r="D255" s="141" t="str">
        <x:v>HRIS access</x:v>
      </x:c>
      <x:c r="E255" s="141" t="str">
        <x:v>High</x:v>
      </x:c>
      <x:c r="F255" s="141" t="n">
        <x:v>81.8</x:v>
      </x:c>
      <x:c r="G255" s="141" t="n">
        <x:v>40</x:v>
      </x:c>
      <x:c r="H255" s="141" t="str">
        <x:v>No</x:v>
      </x:c>
      <x:c r="I255" s="141" t="n">
        <x:v>3</x:v>
      </x:c>
      <x:c r="J255" s="141" t="str">
        <x:v>Walk-in</x:v>
      </x:c>
    </x:row>
    <x:row r="256">
      <x:c r="A256" s="141" t="str">
        <x:v>TKT-0251</x:v>
      </x:c>
      <x:c r="B256" s="171" t="n">
        <x:v>46274</x:v>
      </x:c>
      <x:c r="C256" s="141" t="str">
        <x:v>Q3</x:v>
      </x:c>
      <x:c r="D256" s="141" t="str">
        <x:v>Payroll query</x:v>
      </x:c>
      <x:c r="E256" s="141" t="str">
        <x:v>Low</x:v>
      </x:c>
      <x:c r="F256" s="141" t="n">
        <x:v>5.4</x:v>
      </x:c>
      <x:c r="G256" s="141" t="n">
        <x:v>40</x:v>
      </x:c>
      <x:c r="H256" s="141" t="str">
        <x:v>Yes</x:v>
      </x:c>
      <x:c r="I256" s="141" t="n">
        <x:v>5</x:v>
      </x:c>
      <x:c r="J256" s="141" t="str">
        <x:v>Walk-in</x:v>
      </x:c>
    </x:row>
    <x:row r="257">
      <x:c r="A257" s="141" t="str">
        <x:v>TKT-0252</x:v>
      </x:c>
      <x:c r="B257" s="171" t="n">
        <x:v>46277</x:v>
      </x:c>
      <x:c r="C257" s="141" t="str">
        <x:v>Q3</x:v>
      </x:c>
      <x:c r="D257" s="141" t="str">
        <x:v>Employee letter</x:v>
      </x:c>
      <x:c r="E257" s="141" t="str">
        <x:v>Medium</x:v>
      </x:c>
      <x:c r="F257" s="141" t="n">
        <x:v>11</x:v>
      </x:c>
      <x:c r="G257" s="141" t="n">
        <x:v>40</x:v>
      </x:c>
      <x:c r="H257" s="141" t="str">
        <x:v>Yes</x:v>
      </x:c>
      <x:c r="I257" s="141" t="n">
        <x:v>4</x:v>
      </x:c>
      <x:c r="J257" s="141" t="str">
        <x:v>Email</x:v>
      </x:c>
    </x:row>
    <x:row r="258">
      <x:c r="A258" s="141" t="str">
        <x:v>TKT-0253</x:v>
      </x:c>
      <x:c r="B258" s="171" t="n">
        <x:v>46266</x:v>
      </x:c>
      <x:c r="C258" s="141" t="str">
        <x:v>Q3</x:v>
      </x:c>
      <x:c r="D258" s="141" t="str">
        <x:v>Leave correction</x:v>
      </x:c>
      <x:c r="E258" s="141" t="str">
        <x:v>Low</x:v>
      </x:c>
      <x:c r="F258" s="141" t="n">
        <x:v>39.6</x:v>
      </x:c>
      <x:c r="G258" s="141" t="n">
        <x:v>40</x:v>
      </x:c>
      <x:c r="H258" s="141" t="str">
        <x:v>Yes</x:v>
      </x:c>
      <x:c r="I258" s="141" t="n">
        <x:v>5</x:v>
      </x:c>
      <x:c r="J258" s="141" t="str">
        <x:v>Walk-in</x:v>
      </x:c>
    </x:row>
    <x:row r="259">
      <x:c r="A259" s="141" t="str">
        <x:v>TKT-0254</x:v>
      </x:c>
      <x:c r="B259" s="171" t="n">
        <x:v>46286</x:v>
      </x:c>
      <x:c r="C259" s="141" t="str">
        <x:v>Q3</x:v>
      </x:c>
      <x:c r="D259" s="141" t="str">
        <x:v>HRIS access</x:v>
      </x:c>
      <x:c r="E259" s="141" t="str">
        <x:v>Medium</x:v>
      </x:c>
      <x:c r="F259" s="141" t="n">
        <x:v>10.4</x:v>
      </x:c>
      <x:c r="G259" s="141" t="n">
        <x:v>40</x:v>
      </x:c>
      <x:c r="H259" s="141" t="str">
        <x:v>Yes</x:v>
      </x:c>
      <x:c r="I259" s="141" t="n">
        <x:v>5</x:v>
      </x:c>
      <x:c r="J259" s="141" t="str">
        <x:v>Email</x:v>
      </x:c>
    </x:row>
    <x:row r="260">
      <x:c r="A260" s="141" t="str">
        <x:v>TKT-0255</x:v>
      </x:c>
      <x:c r="B260" s="171" t="n">
        <x:v>46273</x:v>
      </x:c>
      <x:c r="C260" s="141" t="str">
        <x:v>Q3</x:v>
      </x:c>
      <x:c r="D260" s="141" t="str">
        <x:v>Payroll query</x:v>
      </x:c>
      <x:c r="E260" s="141" t="str">
        <x:v>Medium</x:v>
      </x:c>
      <x:c r="F260" s="141" t="n">
        <x:v>20.5</x:v>
      </x:c>
      <x:c r="G260" s="141" t="n">
        <x:v>40</x:v>
      </x:c>
      <x:c r="H260" s="141" t="str">
        <x:v>Yes</x:v>
      </x:c>
      <x:c r="I260" s="141" t="n">
        <x:v>5</x:v>
      </x:c>
      <x:c r="J260" s="141" t="str">
        <x:v>Email</x:v>
      </x:c>
    </x:row>
    <x:row r="261">
      <x:c r="A261" s="141" t="str">
        <x:v>TKT-0256</x:v>
      </x:c>
      <x:c r="B261" s="171" t="n">
        <x:v>46295</x:v>
      </x:c>
      <x:c r="C261" s="141" t="str">
        <x:v>Q3</x:v>
      </x:c>
      <x:c r="D261" s="141" t="str">
        <x:v>Employee letter</x:v>
      </x:c>
      <x:c r="E261" s="141" t="str">
        <x:v>Medium</x:v>
      </x:c>
      <x:c r="F261" s="141" t="n">
        <x:v>31.7</x:v>
      </x:c>
      <x:c r="G261" s="141" t="n">
        <x:v>40</x:v>
      </x:c>
      <x:c r="H261" s="141" t="str">
        <x:v>Yes</x:v>
      </x:c>
      <x:c r="I261" s="141" t="n">
        <x:v>5</x:v>
      </x:c>
      <x:c r="J261" s="141" t="str">
        <x:v>Manager referral</x:v>
      </x:c>
    </x:row>
    <x:row r="262">
      <x:c r="A262" s="141" t="str">
        <x:v>TKT-0257</x:v>
      </x:c>
      <x:c r="B262" s="171" t="n">
        <x:v>46287</x:v>
      </x:c>
      <x:c r="C262" s="141" t="str">
        <x:v>Q3</x:v>
      </x:c>
      <x:c r="D262" s="141" t="str">
        <x:v>Employee letter</x:v>
      </x:c>
      <x:c r="E262" s="141" t="str">
        <x:v>Medium</x:v>
      </x:c>
      <x:c r="F262" s="141" t="n">
        <x:v>7.7</x:v>
      </x:c>
      <x:c r="G262" s="141" t="n">
        <x:v>40</x:v>
      </x:c>
      <x:c r="H262" s="141" t="str">
        <x:v>Yes</x:v>
      </x:c>
      <x:c r="I262" s="141" t="n">
        <x:v>4</x:v>
      </x:c>
      <x:c r="J262" s="141" t="str">
        <x:v>Walk-in</x:v>
      </x:c>
    </x:row>
    <x:row r="263">
      <x:c r="A263" s="141" t="str">
        <x:v>TKT-0258</x:v>
      </x:c>
      <x:c r="B263" s="171" t="n">
        <x:v>46279</x:v>
      </x:c>
      <x:c r="C263" s="141" t="str">
        <x:v>Q3</x:v>
      </x:c>
      <x:c r="D263" s="141" t="str">
        <x:v>Attendance correction</x:v>
      </x:c>
      <x:c r="E263" s="141" t="str">
        <x:v>High</x:v>
      </x:c>
      <x:c r="F263" s="141" t="n">
        <x:v>34.9</x:v>
      </x:c>
      <x:c r="G263" s="141" t="n">
        <x:v>40</x:v>
      </x:c>
      <x:c r="H263" s="141" t="str">
        <x:v>Yes</x:v>
      </x:c>
      <x:c r="I263" s="141" t="n">
        <x:v>5</x:v>
      </x:c>
      <x:c r="J263" s="141" t="str">
        <x:v>Email</x:v>
      </x:c>
    </x:row>
    <x:row r="264">
      <x:c r="A264" s="141" t="str">
        <x:v>TKT-0259</x:v>
      </x:c>
      <x:c r="B264" s="171" t="n">
        <x:v>46325</x:v>
      </x:c>
      <x:c r="C264" s="141" t="str">
        <x:v>Q4</x:v>
      </x:c>
      <x:c r="D264" s="141" t="str">
        <x:v>Leave correction</x:v>
      </x:c>
      <x:c r="E264" s="141" t="str">
        <x:v>Low</x:v>
      </x:c>
      <x:c r="F264" s="141" t="n">
        <x:v>20.3</x:v>
      </x:c>
      <x:c r="G264" s="141" t="n">
        <x:v>40</x:v>
      </x:c>
      <x:c r="H264" s="141" t="str">
        <x:v>Yes</x:v>
      </x:c>
      <x:c r="I264" s="141" t="n">
        <x:v>4</x:v>
      </x:c>
      <x:c r="J264" s="141" t="str">
        <x:v>Email</x:v>
      </x:c>
    </x:row>
    <x:row r="265">
      <x:c r="A265" s="141" t="str">
        <x:v>TKT-0260</x:v>
      </x:c>
      <x:c r="B265" s="171" t="n">
        <x:v>46298</x:v>
      </x:c>
      <x:c r="C265" s="141" t="str">
        <x:v>Q4</x:v>
      </x:c>
      <x:c r="D265" s="141" t="str">
        <x:v>Benefit query</x:v>
      </x:c>
      <x:c r="E265" s="141" t="str">
        <x:v>Medium</x:v>
      </x:c>
      <x:c r="F265" s="141" t="n">
        <x:v>66.4</x:v>
      </x:c>
      <x:c r="G265" s="141" t="n">
        <x:v>40</x:v>
      </x:c>
      <x:c r="H265" s="141" t="str">
        <x:v>No</x:v>
      </x:c>
      <x:c r="I265" s="141" t="n">
        <x:v>2</x:v>
      </x:c>
      <x:c r="J265" s="141" t="str">
        <x:v>Email</x:v>
      </x:c>
    </x:row>
    <x:row r="266">
      <x:c r="A266" s="141" t="str">
        <x:v>TKT-0261</x:v>
      </x:c>
      <x:c r="B266" s="171" t="n">
        <x:v>46299</x:v>
      </x:c>
      <x:c r="C266" s="141" t="str">
        <x:v>Q4</x:v>
      </x:c>
      <x:c r="D266" s="141" t="str">
        <x:v>Payroll query</x:v>
      </x:c>
      <x:c r="E266" s="141" t="str">
        <x:v>Medium</x:v>
      </x:c>
      <x:c r="F266" s="141" t="n">
        <x:v>27.4</x:v>
      </x:c>
      <x:c r="G266" s="141" t="n">
        <x:v>40</x:v>
      </x:c>
      <x:c r="H266" s="141" t="str">
        <x:v>Yes</x:v>
      </x:c>
      <x:c r="I266" s="141" t="n">
        <x:v>4</x:v>
      </x:c>
      <x:c r="J266" s="141" t="str">
        <x:v>Walk-in</x:v>
      </x:c>
    </x:row>
    <x:row r="267">
      <x:c r="A267" s="141" t="str">
        <x:v>TKT-0262</x:v>
      </x:c>
      <x:c r="B267" s="171" t="n">
        <x:v>46297</x:v>
      </x:c>
      <x:c r="C267" s="141" t="str">
        <x:v>Q4</x:v>
      </x:c>
      <x:c r="D267" s="141" t="str">
        <x:v>Benefit query</x:v>
      </x:c>
      <x:c r="E267" s="141" t="str">
        <x:v>Medium</x:v>
      </x:c>
      <x:c r="F267" s="141" t="n">
        <x:v>9</x:v>
      </x:c>
      <x:c r="G267" s="141" t="n">
        <x:v>40</x:v>
      </x:c>
      <x:c r="H267" s="141" t="str">
        <x:v>Yes</x:v>
      </x:c>
      <x:c r="I267" s="141" t="n">
        <x:v>5</x:v>
      </x:c>
      <x:c r="J267" s="141" t="str">
        <x:v>Email</x:v>
      </x:c>
    </x:row>
    <x:row r="268">
      <x:c r="A268" s="141" t="str">
        <x:v>TKT-0263</x:v>
      </x:c>
      <x:c r="B268" s="171" t="n">
        <x:v>46302</x:v>
      </x:c>
      <x:c r="C268" s="141" t="str">
        <x:v>Q4</x:v>
      </x:c>
      <x:c r="D268" s="141" t="str">
        <x:v>Leave correction</x:v>
      </x:c>
      <x:c r="E268" s="141" t="str">
        <x:v>Low</x:v>
      </x:c>
      <x:c r="F268" s="141" t="n">
        <x:v>7.5</x:v>
      </x:c>
      <x:c r="G268" s="141" t="n">
        <x:v>40</x:v>
      </x:c>
      <x:c r="H268" s="141" t="str">
        <x:v>Yes</x:v>
      </x:c>
      <x:c r="I268" s="141" t="n">
        <x:v>4</x:v>
      </x:c>
      <x:c r="J268" s="141" t="str">
        <x:v>Manager referral</x:v>
      </x:c>
    </x:row>
    <x:row r="269">
      <x:c r="A269" s="141" t="str">
        <x:v>TKT-0264</x:v>
      </x:c>
      <x:c r="B269" s="171" t="n">
        <x:v>46318</x:v>
      </x:c>
      <x:c r="C269" s="141" t="str">
        <x:v>Q4</x:v>
      </x:c>
      <x:c r="D269" s="141" t="str">
        <x:v>Attendance correction</x:v>
      </x:c>
      <x:c r="E269" s="141" t="str">
        <x:v>Medium</x:v>
      </x:c>
      <x:c r="F269" s="141" t="n">
        <x:v>34.4</x:v>
      </x:c>
      <x:c r="G269" s="141" t="n">
        <x:v>40</x:v>
      </x:c>
      <x:c r="H269" s="141" t="str">
        <x:v>Yes</x:v>
      </x:c>
      <x:c r="I269" s="141" t="n">
        <x:v>4</x:v>
      </x:c>
      <x:c r="J269" s="141" t="str">
        <x:v>Email</x:v>
      </x:c>
    </x:row>
    <x:row r="270">
      <x:c r="A270" s="141" t="str">
        <x:v>TKT-0265</x:v>
      </x:c>
      <x:c r="B270" s="171" t="n">
        <x:v>46319</x:v>
      </x:c>
      <x:c r="C270" s="141" t="str">
        <x:v>Q4</x:v>
      </x:c>
      <x:c r="D270" s="141" t="str">
        <x:v>Grievance routing</x:v>
      </x:c>
      <x:c r="E270" s="141" t="str">
        <x:v>Medium</x:v>
      </x:c>
      <x:c r="F270" s="141" t="n">
        <x:v>8.8</x:v>
      </x:c>
      <x:c r="G270" s="141" t="n">
        <x:v>40</x:v>
      </x:c>
      <x:c r="H270" s="141" t="str">
        <x:v>Yes</x:v>
      </x:c>
      <x:c r="I270" s="141" t="n">
        <x:v>4</x:v>
      </x:c>
      <x:c r="J270" s="141" t="str">
        <x:v>Manager referral</x:v>
      </x:c>
    </x:row>
    <x:row r="271">
      <x:c r="A271" s="141" t="str">
        <x:v>TKT-0266</x:v>
      </x:c>
      <x:c r="B271" s="171" t="n">
        <x:v>46298</x:v>
      </x:c>
      <x:c r="C271" s="141" t="str">
        <x:v>Q4</x:v>
      </x:c>
      <x:c r="D271" s="141" t="str">
        <x:v>HRIS access</x:v>
      </x:c>
      <x:c r="E271" s="141" t="str">
        <x:v>Medium</x:v>
      </x:c>
      <x:c r="F271" s="141" t="n">
        <x:v>39.2</x:v>
      </x:c>
      <x:c r="G271" s="141" t="n">
        <x:v>40</x:v>
      </x:c>
      <x:c r="H271" s="141" t="str">
        <x:v>Yes</x:v>
      </x:c>
      <x:c r="I271" s="141" t="n">
        <x:v>5</x:v>
      </x:c>
      <x:c r="J271" s="141" t="str">
        <x:v>HRIS</x:v>
      </x:c>
    </x:row>
    <x:row r="272">
      <x:c r="A272" s="141" t="str">
        <x:v>TKT-0267</x:v>
      </x:c>
      <x:c r="B272" s="171" t="n">
        <x:v>46316</x:v>
      </x:c>
      <x:c r="C272" s="141" t="str">
        <x:v>Q4</x:v>
      </x:c>
      <x:c r="D272" s="141" t="str">
        <x:v>Grievance routing</x:v>
      </x:c>
      <x:c r="E272" s="141" t="str">
        <x:v>Medium</x:v>
      </x:c>
      <x:c r="F272" s="141" t="n">
        <x:v>30.6</x:v>
      </x:c>
      <x:c r="G272" s="141" t="n">
        <x:v>40</x:v>
      </x:c>
      <x:c r="H272" s="141" t="str">
        <x:v>Yes</x:v>
      </x:c>
      <x:c r="I272" s="141" t="n">
        <x:v>5</x:v>
      </x:c>
      <x:c r="J272" s="141" t="str">
        <x:v>Walk-in</x:v>
      </x:c>
    </x:row>
    <x:row r="273">
      <x:c r="A273" s="141" t="str">
        <x:v>TKT-0268</x:v>
      </x:c>
      <x:c r="B273" s="171" t="n">
        <x:v>46314</x:v>
      </x:c>
      <x:c r="C273" s="141" t="str">
        <x:v>Q4</x:v>
      </x:c>
      <x:c r="D273" s="141" t="str">
        <x:v>Benefit query</x:v>
      </x:c>
      <x:c r="E273" s="141" t="str">
        <x:v>Medium</x:v>
      </x:c>
      <x:c r="F273" s="141" t="n">
        <x:v>7.2</x:v>
      </x:c>
      <x:c r="G273" s="141" t="n">
        <x:v>40</x:v>
      </x:c>
      <x:c r="H273" s="141" t="str">
        <x:v>Yes</x:v>
      </x:c>
      <x:c r="I273" s="141" t="n">
        <x:v>5</x:v>
      </x:c>
      <x:c r="J273" s="141" t="str">
        <x:v>HRIS</x:v>
      </x:c>
    </x:row>
    <x:row r="274">
      <x:c r="A274" s="141" t="str">
        <x:v>TKT-0269</x:v>
      </x:c>
      <x:c r="B274" s="171" t="n">
        <x:v>46309</x:v>
      </x:c>
      <x:c r="C274" s="141" t="str">
        <x:v>Q4</x:v>
      </x:c>
      <x:c r="D274" s="141" t="str">
        <x:v>HRIS access</x:v>
      </x:c>
      <x:c r="E274" s="141" t="str">
        <x:v>Medium</x:v>
      </x:c>
      <x:c r="F274" s="141" t="n">
        <x:v>15.4</x:v>
      </x:c>
      <x:c r="G274" s="141" t="n">
        <x:v>40</x:v>
      </x:c>
      <x:c r="H274" s="141" t="str">
        <x:v>Yes</x:v>
      </x:c>
      <x:c r="I274" s="141" t="n">
        <x:v>4</x:v>
      </x:c>
      <x:c r="J274" s="141" t="str">
        <x:v>Walk-in</x:v>
      </x:c>
    </x:row>
    <x:row r="275">
      <x:c r="A275" s="141" t="str">
        <x:v>TKT-0270</x:v>
      </x:c>
      <x:c r="B275" s="171" t="n">
        <x:v>46297</x:v>
      </x:c>
      <x:c r="C275" s="141" t="str">
        <x:v>Q4</x:v>
      </x:c>
      <x:c r="D275" s="141" t="str">
        <x:v>Grievance routing</x:v>
      </x:c>
      <x:c r="E275" s="141" t="str">
        <x:v>Low</x:v>
      </x:c>
      <x:c r="F275" s="141" t="n">
        <x:v>14.8</x:v>
      </x:c>
      <x:c r="G275" s="141" t="n">
        <x:v>40</x:v>
      </x:c>
      <x:c r="H275" s="141" t="str">
        <x:v>Yes</x:v>
      </x:c>
      <x:c r="I275" s="141" t="n">
        <x:v>4</x:v>
      </x:c>
      <x:c r="J275" s="141" t="str">
        <x:v>Email</x:v>
      </x:c>
    </x:row>
    <x:row r="276">
      <x:c r="A276" s="141" t="str">
        <x:v>TKT-0271</x:v>
      </x:c>
      <x:c r="B276" s="171" t="n">
        <x:v>46309</x:v>
      </x:c>
      <x:c r="C276" s="141" t="str">
        <x:v>Q4</x:v>
      </x:c>
      <x:c r="D276" s="141" t="str">
        <x:v>Benefit query</x:v>
      </x:c>
      <x:c r="E276" s="141" t="str">
        <x:v>Low</x:v>
      </x:c>
      <x:c r="F276" s="141" t="n">
        <x:v>21.1</x:v>
      </x:c>
      <x:c r="G276" s="141" t="n">
        <x:v>40</x:v>
      </x:c>
      <x:c r="H276" s="141" t="str">
        <x:v>Yes</x:v>
      </x:c>
      <x:c r="I276" s="141" t="n">
        <x:v>4</x:v>
      </x:c>
      <x:c r="J276" s="141" t="str">
        <x:v>HRIS</x:v>
      </x:c>
    </x:row>
    <x:row r="277">
      <x:c r="A277" s="141" t="str">
        <x:v>TKT-0272</x:v>
      </x:c>
      <x:c r="B277" s="171" t="n">
        <x:v>46305</x:v>
      </x:c>
      <x:c r="C277" s="141" t="str">
        <x:v>Q4</x:v>
      </x:c>
      <x:c r="D277" s="141" t="str">
        <x:v>HRIS access</x:v>
      </x:c>
      <x:c r="E277" s="141" t="str">
        <x:v>Medium</x:v>
      </x:c>
      <x:c r="F277" s="141" t="n">
        <x:v>12.3</x:v>
      </x:c>
      <x:c r="G277" s="141" t="n">
        <x:v>40</x:v>
      </x:c>
      <x:c r="H277" s="141" t="str">
        <x:v>Yes</x:v>
      </x:c>
      <x:c r="I277" s="141" t="n">
        <x:v>5</x:v>
      </x:c>
      <x:c r="J277" s="141" t="str">
        <x:v>HRIS</x:v>
      </x:c>
    </x:row>
    <x:row r="278">
      <x:c r="A278" s="141" t="str">
        <x:v>TKT-0273</x:v>
      </x:c>
      <x:c r="B278" s="171" t="n">
        <x:v>46319</x:v>
      </x:c>
      <x:c r="C278" s="141" t="str">
        <x:v>Q4</x:v>
      </x:c>
      <x:c r="D278" s="141" t="str">
        <x:v>Benefit query</x:v>
      </x:c>
      <x:c r="E278" s="141" t="str">
        <x:v>High</x:v>
      </x:c>
      <x:c r="F278" s="141" t="n">
        <x:v>25.5</x:v>
      </x:c>
      <x:c r="G278" s="141" t="n">
        <x:v>40</x:v>
      </x:c>
      <x:c r="H278" s="141" t="str">
        <x:v>Yes</x:v>
      </x:c>
      <x:c r="I278" s="141" t="n">
        <x:v>5</x:v>
      </x:c>
      <x:c r="J278" s="141" t="str">
        <x:v>Walk-in</x:v>
      </x:c>
    </x:row>
    <x:row r="279">
      <x:c r="A279" s="141" t="str">
        <x:v>TKT-0274</x:v>
      </x:c>
      <x:c r="B279" s="171" t="n">
        <x:v>46318</x:v>
      </x:c>
      <x:c r="C279" s="141" t="str">
        <x:v>Q4</x:v>
      </x:c>
      <x:c r="D279" s="141" t="str">
        <x:v>Employee letter</x:v>
      </x:c>
      <x:c r="E279" s="141" t="str">
        <x:v>High</x:v>
      </x:c>
      <x:c r="F279" s="141" t="n">
        <x:v>8.1</x:v>
      </x:c>
      <x:c r="G279" s="141" t="n">
        <x:v>40</x:v>
      </x:c>
      <x:c r="H279" s="141" t="str">
        <x:v>Yes</x:v>
      </x:c>
      <x:c r="I279" s="141" t="n">
        <x:v>4</x:v>
      </x:c>
      <x:c r="J279" s="141" t="str">
        <x:v>Manager referral</x:v>
      </x:c>
    </x:row>
    <x:row r="280">
      <x:c r="A280" s="141" t="str">
        <x:v>TKT-0275</x:v>
      </x:c>
      <x:c r="B280" s="171" t="n">
        <x:v>46324</x:v>
      </x:c>
      <x:c r="C280" s="141" t="str">
        <x:v>Q4</x:v>
      </x:c>
      <x:c r="D280" s="141" t="str">
        <x:v>Grievance routing</x:v>
      </x:c>
      <x:c r="E280" s="141" t="str">
        <x:v>Low</x:v>
      </x:c>
      <x:c r="F280" s="141" t="n">
        <x:v>9.9</x:v>
      </x:c>
      <x:c r="G280" s="141" t="n">
        <x:v>40</x:v>
      </x:c>
      <x:c r="H280" s="141" t="str">
        <x:v>Yes</x:v>
      </x:c>
      <x:c r="I280" s="141" t="n">
        <x:v>4</x:v>
      </x:c>
      <x:c r="J280" s="141" t="str">
        <x:v>Walk-in</x:v>
      </x:c>
    </x:row>
    <x:row r="281">
      <x:c r="A281" s="141" t="str">
        <x:v>TKT-0276</x:v>
      </x:c>
      <x:c r="B281" s="171" t="n">
        <x:v>46321</x:v>
      </x:c>
      <x:c r="C281" s="141" t="str">
        <x:v>Q4</x:v>
      </x:c>
      <x:c r="D281" s="141" t="str">
        <x:v>Grievance routing</x:v>
      </x:c>
      <x:c r="E281" s="141" t="str">
        <x:v>Low</x:v>
      </x:c>
      <x:c r="F281" s="141" t="n">
        <x:v>21.4</x:v>
      </x:c>
      <x:c r="G281" s="141" t="n">
        <x:v>40</x:v>
      </x:c>
      <x:c r="H281" s="141" t="str">
        <x:v>Yes</x:v>
      </x:c>
      <x:c r="I281" s="141" t="n">
        <x:v>4</x:v>
      </x:c>
      <x:c r="J281" s="141" t="str">
        <x:v>Manager referral</x:v>
      </x:c>
    </x:row>
    <x:row r="282">
      <x:c r="A282" s="141" t="str">
        <x:v>TKT-0277</x:v>
      </x:c>
      <x:c r="B282" s="171" t="n">
        <x:v>46309</x:v>
      </x:c>
      <x:c r="C282" s="141" t="str">
        <x:v>Q4</x:v>
      </x:c>
      <x:c r="D282" s="141" t="str">
        <x:v>Grievance routing</x:v>
      </x:c>
      <x:c r="E282" s="141" t="str">
        <x:v>Medium</x:v>
      </x:c>
      <x:c r="F282" s="141" t="n">
        <x:v>38.7</x:v>
      </x:c>
      <x:c r="G282" s="141" t="n">
        <x:v>40</x:v>
      </x:c>
      <x:c r="H282" s="141" t="str">
        <x:v>Yes</x:v>
      </x:c>
      <x:c r="I282" s="141" t="n">
        <x:v>4</x:v>
      </x:c>
      <x:c r="J282" s="141" t="str">
        <x:v>HRIS</x:v>
      </x:c>
    </x:row>
    <x:row r="283">
      <x:c r="A283" s="141" t="str">
        <x:v>TKT-0278</x:v>
      </x:c>
      <x:c r="B283" s="171" t="n">
        <x:v>46299</x:v>
      </x:c>
      <x:c r="C283" s="141" t="str">
        <x:v>Q4</x:v>
      </x:c>
      <x:c r="D283" s="141" t="str">
        <x:v>Leave correction</x:v>
      </x:c>
      <x:c r="E283" s="141" t="str">
        <x:v>Medium</x:v>
      </x:c>
      <x:c r="F283" s="141" t="n">
        <x:v>11.3</x:v>
      </x:c>
      <x:c r="G283" s="141" t="n">
        <x:v>40</x:v>
      </x:c>
      <x:c r="H283" s="141" t="str">
        <x:v>Yes</x:v>
      </x:c>
      <x:c r="I283" s="141" t="n">
        <x:v>5</x:v>
      </x:c>
      <x:c r="J283" s="141" t="str">
        <x:v>Walk-in</x:v>
      </x:c>
    </x:row>
    <x:row r="284">
      <x:c r="A284" s="141" t="str">
        <x:v>TKT-0279</x:v>
      </x:c>
      <x:c r="B284" s="171" t="n">
        <x:v>46316</x:v>
      </x:c>
      <x:c r="C284" s="141" t="str">
        <x:v>Q4</x:v>
      </x:c>
      <x:c r="D284" s="141" t="str">
        <x:v>HRIS access</x:v>
      </x:c>
      <x:c r="E284" s="141" t="str">
        <x:v>Medium</x:v>
      </x:c>
      <x:c r="F284" s="141" t="n">
        <x:v>32.7</x:v>
      </x:c>
      <x:c r="G284" s="141" t="n">
        <x:v>40</x:v>
      </x:c>
      <x:c r="H284" s="141" t="str">
        <x:v>Yes</x:v>
      </x:c>
      <x:c r="I284" s="141" t="n">
        <x:v>5</x:v>
      </x:c>
      <x:c r="J284" s="141" t="str">
        <x:v>Manager referral</x:v>
      </x:c>
    </x:row>
    <x:row r="285">
      <x:c r="A285" s="141" t="str">
        <x:v>TKT-0280</x:v>
      </x:c>
      <x:c r="B285" s="171" t="n">
        <x:v>46310</x:v>
      </x:c>
      <x:c r="C285" s="141" t="str">
        <x:v>Q4</x:v>
      </x:c>
      <x:c r="D285" s="141" t="str">
        <x:v>Payroll query</x:v>
      </x:c>
      <x:c r="E285" s="141" t="str">
        <x:v>Medium</x:v>
      </x:c>
      <x:c r="F285" s="141" t="n">
        <x:v>14.6</x:v>
      </x:c>
      <x:c r="G285" s="141" t="n">
        <x:v>40</x:v>
      </x:c>
      <x:c r="H285" s="141" t="str">
        <x:v>Yes</x:v>
      </x:c>
      <x:c r="I285" s="141" t="n">
        <x:v>4</x:v>
      </x:c>
      <x:c r="J285" s="141" t="str">
        <x:v>Manager referral</x:v>
      </x:c>
    </x:row>
    <x:row r="286">
      <x:c r="A286" s="141" t="str">
        <x:v>TKT-0281</x:v>
      </x:c>
      <x:c r="B286" s="171" t="n">
        <x:v>46307</x:v>
      </x:c>
      <x:c r="C286" s="141" t="str">
        <x:v>Q4</x:v>
      </x:c>
      <x:c r="D286" s="141" t="str">
        <x:v>Grievance routing</x:v>
      </x:c>
      <x:c r="E286" s="141" t="str">
        <x:v>Low</x:v>
      </x:c>
      <x:c r="F286" s="141" t="n">
        <x:v>20.4</x:v>
      </x:c>
      <x:c r="G286" s="141" t="n">
        <x:v>40</x:v>
      </x:c>
      <x:c r="H286" s="141" t="str">
        <x:v>Yes</x:v>
      </x:c>
      <x:c r="I286" s="141" t="n">
        <x:v>5</x:v>
      </x:c>
      <x:c r="J286" s="141" t="str">
        <x:v>Walk-in</x:v>
      </x:c>
    </x:row>
    <x:row r="287">
      <x:c r="A287" s="141" t="str">
        <x:v>TKT-0282</x:v>
      </x:c>
      <x:c r="B287" s="171" t="n">
        <x:v>46315</x:v>
      </x:c>
      <x:c r="C287" s="141" t="str">
        <x:v>Q4</x:v>
      </x:c>
      <x:c r="D287" s="141" t="str">
        <x:v>Benefit query</x:v>
      </x:c>
      <x:c r="E287" s="141" t="str">
        <x:v>Medium</x:v>
      </x:c>
      <x:c r="F287" s="141" t="n">
        <x:v>54</x:v>
      </x:c>
      <x:c r="G287" s="141" t="n">
        <x:v>40</x:v>
      </x:c>
      <x:c r="H287" s="141" t="str">
        <x:v>No</x:v>
      </x:c>
      <x:c r="I287" s="141" t="n">
        <x:v>1</x:v>
      </x:c>
      <x:c r="J287" s="141" t="str">
        <x:v>Walk-in</x:v>
      </x:c>
    </x:row>
    <x:row r="288">
      <x:c r="A288" s="141" t="str">
        <x:v>TKT-0283</x:v>
      </x:c>
      <x:c r="B288" s="171" t="n">
        <x:v>46296</x:v>
      </x:c>
      <x:c r="C288" s="141" t="str">
        <x:v>Q4</x:v>
      </x:c>
      <x:c r="D288" s="141" t="str">
        <x:v>Grievance routing</x:v>
      </x:c>
      <x:c r="E288" s="141" t="str">
        <x:v>Medium</x:v>
      </x:c>
      <x:c r="F288" s="141" t="n">
        <x:v>14</x:v>
      </x:c>
      <x:c r="G288" s="141" t="n">
        <x:v>40</x:v>
      </x:c>
      <x:c r="H288" s="141" t="str">
        <x:v>Yes</x:v>
      </x:c>
      <x:c r="I288" s="141" t="n">
        <x:v>4</x:v>
      </x:c>
      <x:c r="J288" s="141" t="str">
        <x:v>HRIS</x:v>
      </x:c>
    </x:row>
    <x:row r="289">
      <x:c r="A289" s="141" t="str">
        <x:v>TKT-0284</x:v>
      </x:c>
      <x:c r="B289" s="171" t="n">
        <x:v>46301</x:v>
      </x:c>
      <x:c r="C289" s="141" t="str">
        <x:v>Q4</x:v>
      </x:c>
      <x:c r="D289" s="141" t="str">
        <x:v>HRIS access</x:v>
      </x:c>
      <x:c r="E289" s="141" t="str">
        <x:v>Medium</x:v>
      </x:c>
      <x:c r="F289" s="141" t="n">
        <x:v>28.9</x:v>
      </x:c>
      <x:c r="G289" s="141" t="n">
        <x:v>40</x:v>
      </x:c>
      <x:c r="H289" s="141" t="str">
        <x:v>Yes</x:v>
      </x:c>
      <x:c r="I289" s="141" t="n">
        <x:v>4</x:v>
      </x:c>
      <x:c r="J289" s="141" t="str">
        <x:v>Walk-in</x:v>
      </x:c>
    </x:row>
    <x:row r="290">
      <x:c r="A290" s="141" t="str">
        <x:v>TKT-0285</x:v>
      </x:c>
      <x:c r="B290" s="171" t="n">
        <x:v>46311</x:v>
      </x:c>
      <x:c r="C290" s="141" t="str">
        <x:v>Q4</x:v>
      </x:c>
      <x:c r="D290" s="141" t="str">
        <x:v>Attendance correction</x:v>
      </x:c>
      <x:c r="E290" s="141" t="str">
        <x:v>Low</x:v>
      </x:c>
      <x:c r="F290" s="141" t="n">
        <x:v>6.3</x:v>
      </x:c>
      <x:c r="G290" s="141" t="n">
        <x:v>40</x:v>
      </x:c>
      <x:c r="H290" s="141" t="str">
        <x:v>Yes</x:v>
      </x:c>
      <x:c r="I290" s="141" t="n">
        <x:v>5</x:v>
      </x:c>
      <x:c r="J290" s="141" t="str">
        <x:v>Email</x:v>
      </x:c>
    </x:row>
    <x:row r="291">
      <x:c r="A291" s="141" t="str">
        <x:v>TKT-0286</x:v>
      </x:c>
      <x:c r="B291" s="171" t="n">
        <x:v>46307</x:v>
      </x:c>
      <x:c r="C291" s="141" t="str">
        <x:v>Q4</x:v>
      </x:c>
      <x:c r="D291" s="141" t="str">
        <x:v>Employee letter</x:v>
      </x:c>
      <x:c r="E291" s="141" t="str">
        <x:v>Low</x:v>
      </x:c>
      <x:c r="F291" s="141" t="n">
        <x:v>5.9</x:v>
      </x:c>
      <x:c r="G291" s="141" t="n">
        <x:v>40</x:v>
      </x:c>
      <x:c r="H291" s="141" t="str">
        <x:v>Yes</x:v>
      </x:c>
      <x:c r="I291" s="141" t="n">
        <x:v>4</x:v>
      </x:c>
      <x:c r="J291" s="141" t="str">
        <x:v>Manager referral</x:v>
      </x:c>
    </x:row>
    <x:row r="292">
      <x:c r="A292" s="141" t="str">
        <x:v>TKT-0287</x:v>
      </x:c>
      <x:c r="B292" s="171" t="n">
        <x:v>46320</x:v>
      </x:c>
      <x:c r="C292" s="141" t="str">
        <x:v>Q4</x:v>
      </x:c>
      <x:c r="D292" s="141" t="str">
        <x:v>HRIS access</x:v>
      </x:c>
      <x:c r="E292" s="141" t="str">
        <x:v>High</x:v>
      </x:c>
      <x:c r="F292" s="141" t="n">
        <x:v>28.5</x:v>
      </x:c>
      <x:c r="G292" s="141" t="n">
        <x:v>40</x:v>
      </x:c>
      <x:c r="H292" s="141" t="str">
        <x:v>Yes</x:v>
      </x:c>
      <x:c r="I292" s="141" t="n">
        <x:v>4</x:v>
      </x:c>
      <x:c r="J292" s="141" t="str">
        <x:v>Walk-in</x:v>
      </x:c>
    </x:row>
    <x:row r="293">
      <x:c r="A293" s="141" t="str">
        <x:v>TKT-0288</x:v>
      </x:c>
      <x:c r="B293" s="171" t="n">
        <x:v>46308</x:v>
      </x:c>
      <x:c r="C293" s="141" t="str">
        <x:v>Q4</x:v>
      </x:c>
      <x:c r="D293" s="141" t="str">
        <x:v>Leave correction</x:v>
      </x:c>
      <x:c r="E293" s="141" t="str">
        <x:v>Medium</x:v>
      </x:c>
      <x:c r="F293" s="141" t="n">
        <x:v>36.1</x:v>
      </x:c>
      <x:c r="G293" s="141" t="n">
        <x:v>40</x:v>
      </x:c>
      <x:c r="H293" s="141" t="str">
        <x:v>Yes</x:v>
      </x:c>
      <x:c r="I293" s="141" t="n">
        <x:v>4</x:v>
      </x:c>
      <x:c r="J293" s="141" t="str">
        <x:v>Manager referral</x:v>
      </x:c>
    </x:row>
    <x:row r="294">
      <x:c r="A294" s="141" t="str">
        <x:v>TKT-0289</x:v>
      </x:c>
      <x:c r="B294" s="171" t="n">
        <x:v>46313</x:v>
      </x:c>
      <x:c r="C294" s="141" t="str">
        <x:v>Q4</x:v>
      </x:c>
      <x:c r="D294" s="141" t="str">
        <x:v>Leave correction</x:v>
      </x:c>
      <x:c r="E294" s="141" t="str">
        <x:v>Low</x:v>
      </x:c>
      <x:c r="F294" s="141" t="n">
        <x:v>33.1</x:v>
      </x:c>
      <x:c r="G294" s="141" t="n">
        <x:v>40</x:v>
      </x:c>
      <x:c r="H294" s="141" t="str">
        <x:v>Yes</x:v>
      </x:c>
      <x:c r="I294" s="141" t="n">
        <x:v>5</x:v>
      </x:c>
      <x:c r="J294" s="141" t="str">
        <x:v>Manager referral</x:v>
      </x:c>
    </x:row>
    <x:row r="295">
      <x:c r="A295" s="141" t="str">
        <x:v>TKT-0290</x:v>
      </x:c>
      <x:c r="B295" s="171" t="n">
        <x:v>46324</x:v>
      </x:c>
      <x:c r="C295" s="141" t="str">
        <x:v>Q4</x:v>
      </x:c>
      <x:c r="D295" s="141" t="str">
        <x:v>HRIS access</x:v>
      </x:c>
      <x:c r="E295" s="141" t="str">
        <x:v>Medium</x:v>
      </x:c>
      <x:c r="F295" s="141" t="n">
        <x:v>59.5</x:v>
      </x:c>
      <x:c r="G295" s="141" t="n">
        <x:v>40</x:v>
      </x:c>
      <x:c r="H295" s="141" t="str">
        <x:v>No</x:v>
      </x:c>
      <x:c r="I295" s="141" t="n">
        <x:v>3</x:v>
      </x:c>
      <x:c r="J295" s="141" t="str">
        <x:v>Email</x:v>
      </x:c>
    </x:row>
    <x:row r="296">
      <x:c r="A296" s="141" t="str">
        <x:v>TKT-0291</x:v>
      </x:c>
      <x:c r="B296" s="171" t="n">
        <x:v>46299</x:v>
      </x:c>
      <x:c r="C296" s="141" t="str">
        <x:v>Q4</x:v>
      </x:c>
      <x:c r="D296" s="141" t="str">
        <x:v>Leave correction</x:v>
      </x:c>
      <x:c r="E296" s="141" t="str">
        <x:v>Medium</x:v>
      </x:c>
      <x:c r="F296" s="141" t="n">
        <x:v>19.5</x:v>
      </x:c>
      <x:c r="G296" s="141" t="n">
        <x:v>40</x:v>
      </x:c>
      <x:c r="H296" s="141" t="str">
        <x:v>Yes</x:v>
      </x:c>
      <x:c r="I296" s="141" t="n">
        <x:v>5</x:v>
      </x:c>
      <x:c r="J296" s="141" t="str">
        <x:v>HRIS</x:v>
      </x:c>
    </x:row>
    <x:row r="297">
      <x:c r="A297" s="141" t="str">
        <x:v>TKT-0292</x:v>
      </x:c>
      <x:c r="B297" s="171" t="n">
        <x:v>46310</x:v>
      </x:c>
      <x:c r="C297" s="141" t="str">
        <x:v>Q4</x:v>
      </x:c>
      <x:c r="D297" s="141" t="str">
        <x:v>Employee letter</x:v>
      </x:c>
      <x:c r="E297" s="141" t="str">
        <x:v>Low</x:v>
      </x:c>
      <x:c r="F297" s="141" t="n">
        <x:v>34.9</x:v>
      </x:c>
      <x:c r="G297" s="141" t="n">
        <x:v>40</x:v>
      </x:c>
      <x:c r="H297" s="141" t="str">
        <x:v>Yes</x:v>
      </x:c>
      <x:c r="I297" s="141" t="n">
        <x:v>4</x:v>
      </x:c>
      <x:c r="J297" s="141" t="str">
        <x:v>HRIS</x:v>
      </x:c>
    </x:row>
    <x:row r="298">
      <x:c r="A298" s="141" t="str">
        <x:v>TKT-0293</x:v>
      </x:c>
      <x:c r="B298" s="171" t="n">
        <x:v>46296</x:v>
      </x:c>
      <x:c r="C298" s="141" t="str">
        <x:v>Q4</x:v>
      </x:c>
      <x:c r="D298" s="141" t="str">
        <x:v>Attendance correction</x:v>
      </x:c>
      <x:c r="E298" s="141" t="str">
        <x:v>Medium</x:v>
      </x:c>
      <x:c r="F298" s="141" t="n">
        <x:v>86.8</x:v>
      </x:c>
      <x:c r="G298" s="141" t="n">
        <x:v>40</x:v>
      </x:c>
      <x:c r="H298" s="141" t="str">
        <x:v>No</x:v>
      </x:c>
      <x:c r="I298" s="141" t="n">
        <x:v>1</x:v>
      </x:c>
      <x:c r="J298" s="141" t="str">
        <x:v>Manager referral</x:v>
      </x:c>
    </x:row>
    <x:row r="299">
      <x:c r="A299" s="141" t="str">
        <x:v>TKT-0294</x:v>
      </x:c>
      <x:c r="B299" s="171" t="n">
        <x:v>46321</x:v>
      </x:c>
      <x:c r="C299" s="141" t="str">
        <x:v>Q4</x:v>
      </x:c>
      <x:c r="D299" s="141" t="str">
        <x:v>Benefit query</x:v>
      </x:c>
      <x:c r="E299" s="141" t="str">
        <x:v>Low</x:v>
      </x:c>
      <x:c r="F299" s="141" t="n">
        <x:v>26.8</x:v>
      </x:c>
      <x:c r="G299" s="141" t="n">
        <x:v>40</x:v>
      </x:c>
      <x:c r="H299" s="141" t="str">
        <x:v>Yes</x:v>
      </x:c>
      <x:c r="I299" s="141" t="n">
        <x:v>5</x:v>
      </x:c>
      <x:c r="J299" s="141" t="str">
        <x:v>HRIS</x:v>
      </x:c>
    </x:row>
    <x:row r="300">
      <x:c r="A300" s="141" t="str">
        <x:v>TKT-0295</x:v>
      </x:c>
      <x:c r="B300" s="171" t="n">
        <x:v>46299</x:v>
      </x:c>
      <x:c r="C300" s="141" t="str">
        <x:v>Q4</x:v>
      </x:c>
      <x:c r="D300" s="141" t="str">
        <x:v>Employee letter</x:v>
      </x:c>
      <x:c r="E300" s="141" t="str">
        <x:v>Medium</x:v>
      </x:c>
      <x:c r="F300" s="141" t="n">
        <x:v>30.8</x:v>
      </x:c>
      <x:c r="G300" s="141" t="n">
        <x:v>40</x:v>
      </x:c>
      <x:c r="H300" s="141" t="str">
        <x:v>Yes</x:v>
      </x:c>
      <x:c r="I300" s="141" t="n">
        <x:v>5</x:v>
      </x:c>
      <x:c r="J300" s="141" t="str">
        <x:v>Email</x:v>
      </x:c>
    </x:row>
    <x:row r="301">
      <x:c r="A301" s="141" t="str">
        <x:v>TKT-0296</x:v>
      </x:c>
      <x:c r="B301" s="171" t="n">
        <x:v>46311</x:v>
      </x:c>
      <x:c r="C301" s="141" t="str">
        <x:v>Q4</x:v>
      </x:c>
      <x:c r="D301" s="141" t="str">
        <x:v>Leave correction</x:v>
      </x:c>
      <x:c r="E301" s="141" t="str">
        <x:v>Medium</x:v>
      </x:c>
      <x:c r="F301" s="141" t="n">
        <x:v>28.9</x:v>
      </x:c>
      <x:c r="G301" s="141" t="n">
        <x:v>40</x:v>
      </x:c>
      <x:c r="H301" s="141" t="str">
        <x:v>Yes</x:v>
      </x:c>
      <x:c r="I301" s="141" t="n">
        <x:v>4</x:v>
      </x:c>
      <x:c r="J301" s="141" t="str">
        <x:v>Manager referral</x:v>
      </x:c>
    </x:row>
    <x:row r="302">
      <x:c r="A302" s="141" t="str">
        <x:v>TKT-0297</x:v>
      </x:c>
      <x:c r="B302" s="171" t="n">
        <x:v>46304</x:v>
      </x:c>
      <x:c r="C302" s="141" t="str">
        <x:v>Q4</x:v>
      </x:c>
      <x:c r="D302" s="141" t="str">
        <x:v>Payroll query</x:v>
      </x:c>
      <x:c r="E302" s="141" t="str">
        <x:v>High</x:v>
      </x:c>
      <x:c r="F302" s="141" t="n">
        <x:v>18.7</x:v>
      </x:c>
      <x:c r="G302" s="141" t="n">
        <x:v>40</x:v>
      </x:c>
      <x:c r="H302" s="141" t="str">
        <x:v>Yes</x:v>
      </x:c>
      <x:c r="I302" s="141" t="n">
        <x:v>4</x:v>
      </x:c>
      <x:c r="J302" s="141" t="str">
        <x:v>Email</x:v>
      </x:c>
    </x:row>
    <x:row r="303">
      <x:c r="A303" s="141" t="str">
        <x:v>TKT-0298</x:v>
      </x:c>
      <x:c r="B303" s="171" t="n">
        <x:v>46304</x:v>
      </x:c>
      <x:c r="C303" s="141" t="str">
        <x:v>Q4</x:v>
      </x:c>
      <x:c r="D303" s="141" t="str">
        <x:v>HRIS access</x:v>
      </x:c>
      <x:c r="E303" s="141" t="str">
        <x:v>High</x:v>
      </x:c>
      <x:c r="F303" s="141" t="n">
        <x:v>15.2</x:v>
      </x:c>
      <x:c r="G303" s="141" t="n">
        <x:v>40</x:v>
      </x:c>
      <x:c r="H303" s="141" t="str">
        <x:v>Yes</x:v>
      </x:c>
      <x:c r="I303" s="141" t="n">
        <x:v>5</x:v>
      </x:c>
      <x:c r="J303" s="141" t="str">
        <x:v>Walk-in</x:v>
      </x:c>
    </x:row>
    <x:row r="304">
      <x:c r="A304" s="141" t="str">
        <x:v>TKT-0299</x:v>
      </x:c>
      <x:c r="B304" s="171" t="n">
        <x:v>46297</x:v>
      </x:c>
      <x:c r="C304" s="141" t="str">
        <x:v>Q4</x:v>
      </x:c>
      <x:c r="D304" s="141" t="str">
        <x:v>Grievance routing</x:v>
      </x:c>
      <x:c r="E304" s="141" t="str">
        <x:v>High</x:v>
      </x:c>
      <x:c r="F304" s="141" t="n">
        <x:v>27.7</x:v>
      </x:c>
      <x:c r="G304" s="141" t="n">
        <x:v>40</x:v>
      </x:c>
      <x:c r="H304" s="141" t="str">
        <x:v>Yes</x:v>
      </x:c>
      <x:c r="I304" s="141" t="n">
        <x:v>4</x:v>
      </x:c>
      <x:c r="J304" s="141" t="str">
        <x:v>Email</x:v>
      </x:c>
    </x:row>
    <x:row r="305">
      <x:c r="A305" s="141" t="str">
        <x:v>TKT-0300</x:v>
      </x:c>
      <x:c r="B305" s="171" t="n">
        <x:v>46346</x:v>
      </x:c>
      <x:c r="C305" s="141" t="str">
        <x:v>Q4</x:v>
      </x:c>
      <x:c r="D305" s="141" t="str">
        <x:v>Payroll query</x:v>
      </x:c>
      <x:c r="E305" s="141" t="str">
        <x:v>Low</x:v>
      </x:c>
      <x:c r="F305" s="141" t="n">
        <x:v>35.3</x:v>
      </x:c>
      <x:c r="G305" s="141" t="n">
        <x:v>40</x:v>
      </x:c>
      <x:c r="H305" s="141" t="str">
        <x:v>Yes</x:v>
      </x:c>
      <x:c r="I305" s="141" t="n">
        <x:v>4</x:v>
      </x:c>
      <x:c r="J305" s="141" t="str">
        <x:v>HRIS</x:v>
      </x:c>
    </x:row>
    <x:row r="306">
      <x:c r="A306" s="141" t="str">
        <x:v>TKT-0301</x:v>
      </x:c>
      <x:c r="B306" s="171" t="n">
        <x:v>46355</x:v>
      </x:c>
      <x:c r="C306" s="141" t="str">
        <x:v>Q4</x:v>
      </x:c>
      <x:c r="D306" s="141" t="str">
        <x:v>Employee letter</x:v>
      </x:c>
      <x:c r="E306" s="141" t="str">
        <x:v>Medium</x:v>
      </x:c>
      <x:c r="F306" s="141" t="n">
        <x:v>7.1</x:v>
      </x:c>
      <x:c r="G306" s="141" t="n">
        <x:v>40</x:v>
      </x:c>
      <x:c r="H306" s="141" t="str">
        <x:v>Yes</x:v>
      </x:c>
      <x:c r="I306" s="141" t="n">
        <x:v>4</x:v>
      </x:c>
      <x:c r="J306" s="141" t="str">
        <x:v>Email</x:v>
      </x:c>
    </x:row>
    <x:row r="307">
      <x:c r="A307" s="141" t="str">
        <x:v>TKT-0302</x:v>
      </x:c>
      <x:c r="B307" s="171" t="n">
        <x:v>46338</x:v>
      </x:c>
      <x:c r="C307" s="141" t="str">
        <x:v>Q4</x:v>
      </x:c>
      <x:c r="D307" s="141" t="str">
        <x:v>HRIS access</x:v>
      </x:c>
      <x:c r="E307" s="141" t="str">
        <x:v>Medium</x:v>
      </x:c>
      <x:c r="F307" s="141" t="n">
        <x:v>5.2</x:v>
      </x:c>
      <x:c r="G307" s="141" t="n">
        <x:v>40</x:v>
      </x:c>
      <x:c r="H307" s="141" t="str">
        <x:v>Yes</x:v>
      </x:c>
      <x:c r="I307" s="141" t="n">
        <x:v>5</x:v>
      </x:c>
      <x:c r="J307" s="141" t="str">
        <x:v>Manager referral</x:v>
      </x:c>
    </x:row>
    <x:row r="308">
      <x:c r="A308" s="141" t="str">
        <x:v>TKT-0303</x:v>
      </x:c>
      <x:c r="B308" s="171" t="n">
        <x:v>46337</x:v>
      </x:c>
      <x:c r="C308" s="141" t="str">
        <x:v>Q4</x:v>
      </x:c>
      <x:c r="D308" s="141" t="str">
        <x:v>Attendance correction</x:v>
      </x:c>
      <x:c r="E308" s="141" t="str">
        <x:v>Medium</x:v>
      </x:c>
      <x:c r="F308" s="141" t="n">
        <x:v>73.8</x:v>
      </x:c>
      <x:c r="G308" s="141" t="n">
        <x:v>40</x:v>
      </x:c>
      <x:c r="H308" s="141" t="str">
        <x:v>No</x:v>
      </x:c>
      <x:c r="I308" s="141" t="n">
        <x:v>2</x:v>
      </x:c>
      <x:c r="J308" s="141" t="str">
        <x:v>HRIS</x:v>
      </x:c>
    </x:row>
    <x:row r="309">
      <x:c r="A309" s="141" t="str">
        <x:v>TKT-0304</x:v>
      </x:c>
      <x:c r="B309" s="171" t="n">
        <x:v>46329</x:v>
      </x:c>
      <x:c r="C309" s="141" t="str">
        <x:v>Q4</x:v>
      </x:c>
      <x:c r="D309" s="141" t="str">
        <x:v>HRIS access</x:v>
      </x:c>
      <x:c r="E309" s="141" t="str">
        <x:v>Medium</x:v>
      </x:c>
      <x:c r="F309" s="141" t="n">
        <x:v>7.3</x:v>
      </x:c>
      <x:c r="G309" s="141" t="n">
        <x:v>40</x:v>
      </x:c>
      <x:c r="H309" s="141" t="str">
        <x:v>Yes</x:v>
      </x:c>
      <x:c r="I309" s="141" t="n">
        <x:v>4</x:v>
      </x:c>
      <x:c r="J309" s="141" t="str">
        <x:v>Manager referral</x:v>
      </x:c>
    </x:row>
    <x:row r="310">
      <x:c r="A310" s="141" t="str">
        <x:v>TKT-0305</x:v>
      </x:c>
      <x:c r="B310" s="171" t="n">
        <x:v>46342</x:v>
      </x:c>
      <x:c r="C310" s="141" t="str">
        <x:v>Q4</x:v>
      </x:c>
      <x:c r="D310" s="141" t="str">
        <x:v>HRIS access</x:v>
      </x:c>
      <x:c r="E310" s="141" t="str">
        <x:v>Medium</x:v>
      </x:c>
      <x:c r="F310" s="141" t="n">
        <x:v>12.3</x:v>
      </x:c>
      <x:c r="G310" s="141" t="n">
        <x:v>40</x:v>
      </x:c>
      <x:c r="H310" s="141" t="str">
        <x:v>Yes</x:v>
      </x:c>
      <x:c r="I310" s="141" t="n">
        <x:v>5</x:v>
      </x:c>
      <x:c r="J310" s="141" t="str">
        <x:v>HRIS</x:v>
      </x:c>
    </x:row>
    <x:row r="311">
      <x:c r="A311" s="141" t="str">
        <x:v>TKT-0306</x:v>
      </x:c>
      <x:c r="B311" s="171" t="n">
        <x:v>46332</x:v>
      </x:c>
      <x:c r="C311" s="141" t="str">
        <x:v>Q4</x:v>
      </x:c>
      <x:c r="D311" s="141" t="str">
        <x:v>HRIS access</x:v>
      </x:c>
      <x:c r="E311" s="141" t="str">
        <x:v>Low</x:v>
      </x:c>
      <x:c r="F311" s="141" t="n">
        <x:v>7.9</x:v>
      </x:c>
      <x:c r="G311" s="141" t="n">
        <x:v>40</x:v>
      </x:c>
      <x:c r="H311" s="141" t="str">
        <x:v>Yes</x:v>
      </x:c>
      <x:c r="I311" s="141" t="n">
        <x:v>4</x:v>
      </x:c>
      <x:c r="J311" s="141" t="str">
        <x:v>Manager referral</x:v>
      </x:c>
    </x:row>
    <x:row r="312">
      <x:c r="A312" s="141" t="str">
        <x:v>TKT-0307</x:v>
      </x:c>
      <x:c r="B312" s="171" t="n">
        <x:v>46343</x:v>
      </x:c>
      <x:c r="C312" s="141" t="str">
        <x:v>Q4</x:v>
      </x:c>
      <x:c r="D312" s="141" t="str">
        <x:v>Grievance routing</x:v>
      </x:c>
      <x:c r="E312" s="141" t="str">
        <x:v>Low</x:v>
      </x:c>
      <x:c r="F312" s="141" t="n">
        <x:v>12.2</x:v>
      </x:c>
      <x:c r="G312" s="141" t="n">
        <x:v>40</x:v>
      </x:c>
      <x:c r="H312" s="141" t="str">
        <x:v>Yes</x:v>
      </x:c>
      <x:c r="I312" s="141" t="n">
        <x:v>4</x:v>
      </x:c>
      <x:c r="J312" s="141" t="str">
        <x:v>Manager referral</x:v>
      </x:c>
    </x:row>
    <x:row r="313">
      <x:c r="A313" s="141" t="str">
        <x:v>TKT-0308</x:v>
      </x:c>
      <x:c r="B313" s="171" t="n">
        <x:v>46354</x:v>
      </x:c>
      <x:c r="C313" s="141" t="str">
        <x:v>Q4</x:v>
      </x:c>
      <x:c r="D313" s="141" t="str">
        <x:v>Leave correction</x:v>
      </x:c>
      <x:c r="E313" s="141" t="str">
        <x:v>Medium</x:v>
      </x:c>
      <x:c r="F313" s="141" t="n">
        <x:v>15.7</x:v>
      </x:c>
      <x:c r="G313" s="141" t="n">
        <x:v>40</x:v>
      </x:c>
      <x:c r="H313" s="141" t="str">
        <x:v>Yes</x:v>
      </x:c>
      <x:c r="I313" s="141" t="n">
        <x:v>4</x:v>
      </x:c>
      <x:c r="J313" s="141" t="str">
        <x:v>Email</x:v>
      </x:c>
    </x:row>
    <x:row r="314">
      <x:c r="A314" s="141" t="str">
        <x:v>TKT-0309</x:v>
      </x:c>
      <x:c r="B314" s="171" t="n">
        <x:v>46333</x:v>
      </x:c>
      <x:c r="C314" s="141" t="str">
        <x:v>Q4</x:v>
      </x:c>
      <x:c r="D314" s="141" t="str">
        <x:v>Leave correction</x:v>
      </x:c>
      <x:c r="E314" s="141" t="str">
        <x:v>Low</x:v>
      </x:c>
      <x:c r="F314" s="141" t="n">
        <x:v>33.6</x:v>
      </x:c>
      <x:c r="G314" s="141" t="n">
        <x:v>40</x:v>
      </x:c>
      <x:c r="H314" s="141" t="str">
        <x:v>Yes</x:v>
      </x:c>
      <x:c r="I314" s="141" t="n">
        <x:v>4</x:v>
      </x:c>
      <x:c r="J314" s="141" t="str">
        <x:v>Walk-in</x:v>
      </x:c>
    </x:row>
    <x:row r="315">
      <x:c r="A315" s="141" t="str">
        <x:v>TKT-0310</x:v>
      </x:c>
      <x:c r="B315" s="171" t="n">
        <x:v>46335</x:v>
      </x:c>
      <x:c r="C315" s="141" t="str">
        <x:v>Q4</x:v>
      </x:c>
      <x:c r="D315" s="141" t="str">
        <x:v>Attendance correction</x:v>
      </x:c>
      <x:c r="E315" s="141" t="str">
        <x:v>Low</x:v>
      </x:c>
      <x:c r="F315" s="141" t="n">
        <x:v>36.4</x:v>
      </x:c>
      <x:c r="G315" s="141" t="n">
        <x:v>40</x:v>
      </x:c>
      <x:c r="H315" s="141" t="str">
        <x:v>Yes</x:v>
      </x:c>
      <x:c r="I315" s="141" t="n">
        <x:v>4</x:v>
      </x:c>
      <x:c r="J315" s="141" t="str">
        <x:v>Email</x:v>
      </x:c>
    </x:row>
    <x:row r="316">
      <x:c r="A316" s="141" t="str">
        <x:v>TKT-0311</x:v>
      </x:c>
      <x:c r="B316" s="171" t="n">
        <x:v>46329</x:v>
      </x:c>
      <x:c r="C316" s="141" t="str">
        <x:v>Q4</x:v>
      </x:c>
      <x:c r="D316" s="141" t="str">
        <x:v>Benefit query</x:v>
      </x:c>
      <x:c r="E316" s="141" t="str">
        <x:v>Medium</x:v>
      </x:c>
      <x:c r="F316" s="141" t="n">
        <x:v>32.4</x:v>
      </x:c>
      <x:c r="G316" s="141" t="n">
        <x:v>40</x:v>
      </x:c>
      <x:c r="H316" s="141" t="str">
        <x:v>Yes</x:v>
      </x:c>
      <x:c r="I316" s="141" t="n">
        <x:v>5</x:v>
      </x:c>
      <x:c r="J316" s="141" t="str">
        <x:v>Email</x:v>
      </x:c>
    </x:row>
    <x:row r="317">
      <x:c r="A317" s="141" t="str">
        <x:v>TKT-0312</x:v>
      </x:c>
      <x:c r="B317" s="171" t="n">
        <x:v>46350</x:v>
      </x:c>
      <x:c r="C317" s="141" t="str">
        <x:v>Q4</x:v>
      </x:c>
      <x:c r="D317" s="141" t="str">
        <x:v>Grievance routing</x:v>
      </x:c>
      <x:c r="E317" s="141" t="str">
        <x:v>Medium</x:v>
      </x:c>
      <x:c r="F317" s="141" t="n">
        <x:v>38.8</x:v>
      </x:c>
      <x:c r="G317" s="141" t="n">
        <x:v>40</x:v>
      </x:c>
      <x:c r="H317" s="141" t="str">
        <x:v>Yes</x:v>
      </x:c>
      <x:c r="I317" s="141" t="n">
        <x:v>4</x:v>
      </x:c>
      <x:c r="J317" s="141" t="str">
        <x:v>Manager referral</x:v>
      </x:c>
    </x:row>
    <x:row r="318">
      <x:c r="A318" s="141" t="str">
        <x:v>TKT-0313</x:v>
      </x:c>
      <x:c r="B318" s="171" t="n">
        <x:v>46341</x:v>
      </x:c>
      <x:c r="C318" s="141" t="str">
        <x:v>Q4</x:v>
      </x:c>
      <x:c r="D318" s="141" t="str">
        <x:v>Attendance correction</x:v>
      </x:c>
      <x:c r="E318" s="141" t="str">
        <x:v>High</x:v>
      </x:c>
      <x:c r="F318" s="141" t="n">
        <x:v>31.9</x:v>
      </x:c>
      <x:c r="G318" s="141" t="n">
        <x:v>40</x:v>
      </x:c>
      <x:c r="H318" s="141" t="str">
        <x:v>Yes</x:v>
      </x:c>
      <x:c r="I318" s="141" t="n">
        <x:v>5</x:v>
      </x:c>
      <x:c r="J318" s="141" t="str">
        <x:v>Manager referral</x:v>
      </x:c>
    </x:row>
    <x:row r="319">
      <x:c r="A319" s="141" t="str">
        <x:v>TKT-0314</x:v>
      </x:c>
      <x:c r="B319" s="171" t="n">
        <x:v>46351</x:v>
      </x:c>
      <x:c r="C319" s="141" t="str">
        <x:v>Q4</x:v>
      </x:c>
      <x:c r="D319" s="141" t="str">
        <x:v>HRIS access</x:v>
      </x:c>
      <x:c r="E319" s="141" t="str">
        <x:v>Low</x:v>
      </x:c>
      <x:c r="F319" s="141" t="n">
        <x:v>37</x:v>
      </x:c>
      <x:c r="G319" s="141" t="n">
        <x:v>40</x:v>
      </x:c>
      <x:c r="H319" s="141" t="str">
        <x:v>Yes</x:v>
      </x:c>
      <x:c r="I319" s="141" t="n">
        <x:v>5</x:v>
      </x:c>
      <x:c r="J319" s="141" t="str">
        <x:v>Manager referral</x:v>
      </x:c>
    </x:row>
    <x:row r="320">
      <x:c r="A320" s="141" t="str">
        <x:v>TKT-0315</x:v>
      </x:c>
      <x:c r="B320" s="171" t="n">
        <x:v>46353</x:v>
      </x:c>
      <x:c r="C320" s="141" t="str">
        <x:v>Q4</x:v>
      </x:c>
      <x:c r="D320" s="141" t="str">
        <x:v>Leave correction</x:v>
      </x:c>
      <x:c r="E320" s="141" t="str">
        <x:v>Medium</x:v>
      </x:c>
      <x:c r="F320" s="141" t="n">
        <x:v>31</x:v>
      </x:c>
      <x:c r="G320" s="141" t="n">
        <x:v>40</x:v>
      </x:c>
      <x:c r="H320" s="141" t="str">
        <x:v>Yes</x:v>
      </x:c>
      <x:c r="I320" s="141" t="n">
        <x:v>5</x:v>
      </x:c>
      <x:c r="J320" s="141" t="str">
        <x:v>Walk-in</x:v>
      </x:c>
    </x:row>
    <x:row r="321">
      <x:c r="A321" s="141" t="str">
        <x:v>TKT-0316</x:v>
      </x:c>
      <x:c r="B321" s="171" t="n">
        <x:v>46346</x:v>
      </x:c>
      <x:c r="C321" s="141" t="str">
        <x:v>Q4</x:v>
      </x:c>
      <x:c r="D321" s="141" t="str">
        <x:v>Leave correction</x:v>
      </x:c>
      <x:c r="E321" s="141" t="str">
        <x:v>High</x:v>
      </x:c>
      <x:c r="F321" s="141" t="n">
        <x:v>16.9</x:v>
      </x:c>
      <x:c r="G321" s="141" t="n">
        <x:v>40</x:v>
      </x:c>
      <x:c r="H321" s="141" t="str">
        <x:v>Yes</x:v>
      </x:c>
      <x:c r="I321" s="141" t="n">
        <x:v>4</x:v>
      </x:c>
      <x:c r="J321" s="141" t="str">
        <x:v>Manager referral</x:v>
      </x:c>
    </x:row>
    <x:row r="322">
      <x:c r="A322" s="141" t="str">
        <x:v>TKT-0317</x:v>
      </x:c>
      <x:c r="B322" s="171" t="n">
        <x:v>46328</x:v>
      </x:c>
      <x:c r="C322" s="141" t="str">
        <x:v>Q4</x:v>
      </x:c>
      <x:c r="D322" s="141" t="str">
        <x:v>Attendance correction</x:v>
      </x:c>
      <x:c r="E322" s="141" t="str">
        <x:v>Medium</x:v>
      </x:c>
      <x:c r="F322" s="141" t="n">
        <x:v>36.5</x:v>
      </x:c>
      <x:c r="G322" s="141" t="n">
        <x:v>40</x:v>
      </x:c>
      <x:c r="H322" s="141" t="str">
        <x:v>Yes</x:v>
      </x:c>
      <x:c r="I322" s="141" t="n">
        <x:v>5</x:v>
      </x:c>
      <x:c r="J322" s="141" t="str">
        <x:v>Manager referral</x:v>
      </x:c>
    </x:row>
    <x:row r="323">
      <x:c r="A323" s="141" t="str">
        <x:v>TKT-0318</x:v>
      </x:c>
      <x:c r="B323" s="171" t="n">
        <x:v>46347</x:v>
      </x:c>
      <x:c r="C323" s="141" t="str">
        <x:v>Q4</x:v>
      </x:c>
      <x:c r="D323" s="141" t="str">
        <x:v>Payroll query</x:v>
      </x:c>
      <x:c r="E323" s="141" t="str">
        <x:v>Medium</x:v>
      </x:c>
      <x:c r="F323" s="141" t="n">
        <x:v>31.2</x:v>
      </x:c>
      <x:c r="G323" s="141" t="n">
        <x:v>40</x:v>
      </x:c>
      <x:c r="H323" s="141" t="str">
        <x:v>Yes</x:v>
      </x:c>
      <x:c r="I323" s="141" t="n">
        <x:v>5</x:v>
      </x:c>
      <x:c r="J323" s="141" t="str">
        <x:v>HRIS</x:v>
      </x:c>
    </x:row>
    <x:row r="324">
      <x:c r="A324" s="141" t="str">
        <x:v>TKT-0319</x:v>
      </x:c>
      <x:c r="B324" s="171" t="n">
        <x:v>46337</x:v>
      </x:c>
      <x:c r="C324" s="141" t="str">
        <x:v>Q4</x:v>
      </x:c>
      <x:c r="D324" s="141" t="str">
        <x:v>Payroll query</x:v>
      </x:c>
      <x:c r="E324" s="141" t="str">
        <x:v>Low</x:v>
      </x:c>
      <x:c r="F324" s="141" t="n">
        <x:v>26.8</x:v>
      </x:c>
      <x:c r="G324" s="141" t="n">
        <x:v>40</x:v>
      </x:c>
      <x:c r="H324" s="141" t="str">
        <x:v>Yes</x:v>
      </x:c>
      <x:c r="I324" s="141" t="n">
        <x:v>4</x:v>
      </x:c>
      <x:c r="J324" s="141" t="str">
        <x:v>Walk-in</x:v>
      </x:c>
    </x:row>
    <x:row r="325">
      <x:c r="A325" s="141" t="str">
        <x:v>TKT-0320</x:v>
      </x:c>
      <x:c r="B325" s="171" t="n">
        <x:v>46332</x:v>
      </x:c>
      <x:c r="C325" s="141" t="str">
        <x:v>Q4</x:v>
      </x:c>
      <x:c r="D325" s="141" t="str">
        <x:v>Grievance routing</x:v>
      </x:c>
      <x:c r="E325" s="141" t="str">
        <x:v>Medium</x:v>
      </x:c>
      <x:c r="F325" s="141" t="n">
        <x:v>27.6</x:v>
      </x:c>
      <x:c r="G325" s="141" t="n">
        <x:v>40</x:v>
      </x:c>
      <x:c r="H325" s="141" t="str">
        <x:v>Yes</x:v>
      </x:c>
      <x:c r="I325" s="141" t="n">
        <x:v>5</x:v>
      </x:c>
      <x:c r="J325" s="141" t="str">
        <x:v>Manager referral</x:v>
      </x:c>
    </x:row>
    <x:row r="326">
      <x:c r="A326" s="141" t="str">
        <x:v>TKT-0321</x:v>
      </x:c>
      <x:c r="B326" s="171" t="n">
        <x:v>46341</x:v>
      </x:c>
      <x:c r="C326" s="141" t="str">
        <x:v>Q4</x:v>
      </x:c>
      <x:c r="D326" s="141" t="str">
        <x:v>Grievance routing</x:v>
      </x:c>
      <x:c r="E326" s="141" t="str">
        <x:v>Medium</x:v>
      </x:c>
      <x:c r="F326" s="141" t="n">
        <x:v>35.9</x:v>
      </x:c>
      <x:c r="G326" s="141" t="n">
        <x:v>40</x:v>
      </x:c>
      <x:c r="H326" s="141" t="str">
        <x:v>Yes</x:v>
      </x:c>
      <x:c r="I326" s="141" t="n">
        <x:v>4</x:v>
      </x:c>
      <x:c r="J326" s="141" t="str">
        <x:v>Walk-in</x:v>
      </x:c>
    </x:row>
    <x:row r="327">
      <x:c r="A327" s="141" t="str">
        <x:v>TKT-0322</x:v>
      </x:c>
      <x:c r="B327" s="171" t="n">
        <x:v>46346</x:v>
      </x:c>
      <x:c r="C327" s="141" t="str">
        <x:v>Q4</x:v>
      </x:c>
      <x:c r="D327" s="141" t="str">
        <x:v>HRIS access</x:v>
      </x:c>
      <x:c r="E327" s="141" t="str">
        <x:v>Medium</x:v>
      </x:c>
      <x:c r="F327" s="141" t="n">
        <x:v>4.2</x:v>
      </x:c>
      <x:c r="G327" s="141" t="n">
        <x:v>40</x:v>
      </x:c>
      <x:c r="H327" s="141" t="str">
        <x:v>Yes</x:v>
      </x:c>
      <x:c r="I327" s="141" t="n">
        <x:v>4</x:v>
      </x:c>
      <x:c r="J327" s="141" t="str">
        <x:v>HRIS</x:v>
      </x:c>
    </x:row>
    <x:row r="328">
      <x:c r="A328" s="141" t="str">
        <x:v>TKT-0323</x:v>
      </x:c>
      <x:c r="B328" s="171" t="n">
        <x:v>46334</x:v>
      </x:c>
      <x:c r="C328" s="141" t="str">
        <x:v>Q4</x:v>
      </x:c>
      <x:c r="D328" s="141" t="str">
        <x:v>Payroll query</x:v>
      </x:c>
      <x:c r="E328" s="141" t="str">
        <x:v>Medium</x:v>
      </x:c>
      <x:c r="F328" s="141" t="n">
        <x:v>39.9</x:v>
      </x:c>
      <x:c r="G328" s="141" t="n">
        <x:v>40</x:v>
      </x:c>
      <x:c r="H328" s="141" t="str">
        <x:v>Yes</x:v>
      </x:c>
      <x:c r="I328" s="141" t="n">
        <x:v>4</x:v>
      </x:c>
      <x:c r="J328" s="141" t="str">
        <x:v>Walk-in</x:v>
      </x:c>
    </x:row>
    <x:row r="329">
      <x:c r="A329" s="141" t="str">
        <x:v>TKT-0324</x:v>
      </x:c>
      <x:c r="B329" s="171" t="n">
        <x:v>46351</x:v>
      </x:c>
      <x:c r="C329" s="141" t="str">
        <x:v>Q4</x:v>
      </x:c>
      <x:c r="D329" s="141" t="str">
        <x:v>Attendance correction</x:v>
      </x:c>
      <x:c r="E329" s="141" t="str">
        <x:v>High</x:v>
      </x:c>
      <x:c r="F329" s="141" t="n">
        <x:v>12.9</x:v>
      </x:c>
      <x:c r="G329" s="141" t="n">
        <x:v>40</x:v>
      </x:c>
      <x:c r="H329" s="141" t="str">
        <x:v>Yes</x:v>
      </x:c>
      <x:c r="I329" s="141" t="n">
        <x:v>4</x:v>
      </x:c>
      <x:c r="J329" s="141" t="str">
        <x:v>Email</x:v>
      </x:c>
    </x:row>
    <x:row r="330">
      <x:c r="A330" s="141" t="str">
        <x:v>TKT-0325</x:v>
      </x:c>
      <x:c r="B330" s="171" t="n">
        <x:v>46353</x:v>
      </x:c>
      <x:c r="C330" s="141" t="str">
        <x:v>Q4</x:v>
      </x:c>
      <x:c r="D330" s="141" t="str">
        <x:v>Employee letter</x:v>
      </x:c>
      <x:c r="E330" s="141" t="str">
        <x:v>Low</x:v>
      </x:c>
      <x:c r="F330" s="141" t="n">
        <x:v>5.6</x:v>
      </x:c>
      <x:c r="G330" s="141" t="n">
        <x:v>40</x:v>
      </x:c>
      <x:c r="H330" s="141" t="str">
        <x:v>Yes</x:v>
      </x:c>
      <x:c r="I330" s="141" t="n">
        <x:v>4</x:v>
      </x:c>
      <x:c r="J330" s="141" t="str">
        <x:v>Manager referral</x:v>
      </x:c>
    </x:row>
    <x:row r="331">
      <x:c r="A331" s="141" t="str">
        <x:v>TKT-0326</x:v>
      </x:c>
      <x:c r="B331" s="171" t="n">
        <x:v>46352</x:v>
      </x:c>
      <x:c r="C331" s="141" t="str">
        <x:v>Q4</x:v>
      </x:c>
      <x:c r="D331" s="141" t="str">
        <x:v>Employee letter</x:v>
      </x:c>
      <x:c r="E331" s="141" t="str">
        <x:v>Low</x:v>
      </x:c>
      <x:c r="F331" s="141" t="n">
        <x:v>25.1</x:v>
      </x:c>
      <x:c r="G331" s="141" t="n">
        <x:v>40</x:v>
      </x:c>
      <x:c r="H331" s="141" t="str">
        <x:v>Yes</x:v>
      </x:c>
      <x:c r="I331" s="141" t="n">
        <x:v>4</x:v>
      </x:c>
      <x:c r="J331" s="141" t="str">
        <x:v>Walk-in</x:v>
      </x:c>
    </x:row>
    <x:row r="332">
      <x:c r="A332" s="141" t="str">
        <x:v>TKT-0327</x:v>
      </x:c>
      <x:c r="B332" s="171" t="n">
        <x:v>46327</x:v>
      </x:c>
      <x:c r="C332" s="141" t="str">
        <x:v>Q4</x:v>
      </x:c>
      <x:c r="D332" s="141" t="str">
        <x:v>Attendance correction</x:v>
      </x:c>
      <x:c r="E332" s="141" t="str">
        <x:v>Medium</x:v>
      </x:c>
      <x:c r="F332" s="141" t="n">
        <x:v>6.4</x:v>
      </x:c>
      <x:c r="G332" s="141" t="n">
        <x:v>40</x:v>
      </x:c>
      <x:c r="H332" s="141" t="str">
        <x:v>Yes</x:v>
      </x:c>
      <x:c r="I332" s="141" t="n">
        <x:v>5</x:v>
      </x:c>
      <x:c r="J332" s="141" t="str">
        <x:v>Walk-in</x:v>
      </x:c>
    </x:row>
    <x:row r="333">
      <x:c r="A333" s="141" t="str">
        <x:v>TKT-0328</x:v>
      </x:c>
      <x:c r="B333" s="171" t="n">
        <x:v>46352</x:v>
      </x:c>
      <x:c r="C333" s="141" t="str">
        <x:v>Q4</x:v>
      </x:c>
      <x:c r="D333" s="141" t="str">
        <x:v>Employee letter</x:v>
      </x:c>
      <x:c r="E333" s="141" t="str">
        <x:v>High</x:v>
      </x:c>
      <x:c r="F333" s="141" t="n">
        <x:v>39.6</x:v>
      </x:c>
      <x:c r="G333" s="141" t="n">
        <x:v>40</x:v>
      </x:c>
      <x:c r="H333" s="141" t="str">
        <x:v>Yes</x:v>
      </x:c>
      <x:c r="I333" s="141" t="n">
        <x:v>4</x:v>
      </x:c>
      <x:c r="J333" s="141" t="str">
        <x:v>HRIS</x:v>
      </x:c>
    </x:row>
    <x:row r="334">
      <x:c r="A334" s="141" t="str">
        <x:v>TKT-0329</x:v>
      </x:c>
      <x:c r="B334" s="171" t="n">
        <x:v>46340</x:v>
      </x:c>
      <x:c r="C334" s="141" t="str">
        <x:v>Q4</x:v>
      </x:c>
      <x:c r="D334" s="141" t="str">
        <x:v>Grievance routing</x:v>
      </x:c>
      <x:c r="E334" s="141" t="str">
        <x:v>Low</x:v>
      </x:c>
      <x:c r="F334" s="141" t="n">
        <x:v>36</x:v>
      </x:c>
      <x:c r="G334" s="141" t="n">
        <x:v>40</x:v>
      </x:c>
      <x:c r="H334" s="141" t="str">
        <x:v>Yes</x:v>
      </x:c>
      <x:c r="I334" s="141" t="n">
        <x:v>5</x:v>
      </x:c>
      <x:c r="J334" s="141" t="str">
        <x:v>Walk-in</x:v>
      </x:c>
    </x:row>
    <x:row r="335">
      <x:c r="A335" s="141" t="str">
        <x:v>TKT-0330</x:v>
      </x:c>
      <x:c r="B335" s="171" t="n">
        <x:v>46332</x:v>
      </x:c>
      <x:c r="C335" s="141" t="str">
        <x:v>Q4</x:v>
      </x:c>
      <x:c r="D335" s="141" t="str">
        <x:v>Attendance correction</x:v>
      </x:c>
      <x:c r="E335" s="141" t="str">
        <x:v>Low</x:v>
      </x:c>
      <x:c r="F335" s="141" t="n">
        <x:v>84.7</x:v>
      </x:c>
      <x:c r="G335" s="141" t="n">
        <x:v>40</x:v>
      </x:c>
      <x:c r="H335" s="141" t="str">
        <x:v>No</x:v>
      </x:c>
      <x:c r="I335" s="141" t="n">
        <x:v>1</x:v>
      </x:c>
      <x:c r="J335" s="141" t="str">
        <x:v>HRIS</x:v>
      </x:c>
    </x:row>
    <x:row r="336">
      <x:c r="A336" s="141" t="str">
        <x:v>TKT-0331</x:v>
      </x:c>
      <x:c r="B336" s="171" t="n">
        <x:v>46337</x:v>
      </x:c>
      <x:c r="C336" s="141" t="str">
        <x:v>Q4</x:v>
      </x:c>
      <x:c r="D336" s="141" t="str">
        <x:v>Grievance routing</x:v>
      </x:c>
      <x:c r="E336" s="141" t="str">
        <x:v>Medium</x:v>
      </x:c>
      <x:c r="F336" s="141" t="n">
        <x:v>19.6</x:v>
      </x:c>
      <x:c r="G336" s="141" t="n">
        <x:v>40</x:v>
      </x:c>
      <x:c r="H336" s="141" t="str">
        <x:v>Yes</x:v>
      </x:c>
      <x:c r="I336" s="141" t="n">
        <x:v>5</x:v>
      </x:c>
      <x:c r="J336" s="141" t="str">
        <x:v>Email</x:v>
      </x:c>
    </x:row>
    <x:row r="337">
      <x:c r="A337" s="141" t="str">
        <x:v>TKT-0332</x:v>
      </x:c>
      <x:c r="B337" s="171" t="n">
        <x:v>46330</x:v>
      </x:c>
      <x:c r="C337" s="141" t="str">
        <x:v>Q4</x:v>
      </x:c>
      <x:c r="D337" s="141" t="str">
        <x:v>Leave correction</x:v>
      </x:c>
      <x:c r="E337" s="141" t="str">
        <x:v>Low</x:v>
      </x:c>
      <x:c r="F337" s="141" t="n">
        <x:v>21.2</x:v>
      </x:c>
      <x:c r="G337" s="141" t="n">
        <x:v>40</x:v>
      </x:c>
      <x:c r="H337" s="141" t="str">
        <x:v>Yes</x:v>
      </x:c>
      <x:c r="I337" s="141" t="n">
        <x:v>5</x:v>
      </x:c>
      <x:c r="J337" s="141" t="str">
        <x:v>Walk-in</x:v>
      </x:c>
    </x:row>
    <x:row r="338">
      <x:c r="A338" s="141" t="str">
        <x:v>TKT-0333</x:v>
      </x:c>
      <x:c r="B338" s="171" t="n">
        <x:v>46350</x:v>
      </x:c>
      <x:c r="C338" s="141" t="str">
        <x:v>Q4</x:v>
      </x:c>
      <x:c r="D338" s="141" t="str">
        <x:v>HRIS access</x:v>
      </x:c>
      <x:c r="E338" s="141" t="str">
        <x:v>Medium</x:v>
      </x:c>
      <x:c r="F338" s="141" t="n">
        <x:v>20.5</x:v>
      </x:c>
      <x:c r="G338" s="141" t="n">
        <x:v>40</x:v>
      </x:c>
      <x:c r="H338" s="141" t="str">
        <x:v>Yes</x:v>
      </x:c>
      <x:c r="I338" s="141" t="n">
        <x:v>5</x:v>
      </x:c>
      <x:c r="J338" s="141" t="str">
        <x:v>Email</x:v>
      </x:c>
    </x:row>
    <x:row r="339">
      <x:c r="A339" s="141" t="str">
        <x:v>TKT-0334</x:v>
      </x:c>
      <x:c r="B339" s="171" t="n">
        <x:v>46339</x:v>
      </x:c>
      <x:c r="C339" s="141" t="str">
        <x:v>Q4</x:v>
      </x:c>
      <x:c r="D339" s="141" t="str">
        <x:v>Benefit query</x:v>
      </x:c>
      <x:c r="E339" s="141" t="str">
        <x:v>Low</x:v>
      </x:c>
      <x:c r="F339" s="141" t="n">
        <x:v>18</x:v>
      </x:c>
      <x:c r="G339" s="141" t="n">
        <x:v>40</x:v>
      </x:c>
      <x:c r="H339" s="141" t="str">
        <x:v>Yes</x:v>
      </x:c>
      <x:c r="I339" s="141" t="n">
        <x:v>5</x:v>
      </x:c>
      <x:c r="J339" s="141" t="str">
        <x:v>Walk-in</x:v>
      </x:c>
    </x:row>
    <x:row r="340">
      <x:c r="A340" s="141" t="str">
        <x:v>TKT-0335</x:v>
      </x:c>
      <x:c r="B340" s="171" t="n">
        <x:v>46345</x:v>
      </x:c>
      <x:c r="C340" s="141" t="str">
        <x:v>Q4</x:v>
      </x:c>
      <x:c r="D340" s="141" t="str">
        <x:v>Attendance correction</x:v>
      </x:c>
      <x:c r="E340" s="141" t="str">
        <x:v>Low</x:v>
      </x:c>
      <x:c r="F340" s="141" t="n">
        <x:v>20.5</x:v>
      </x:c>
      <x:c r="G340" s="141" t="n">
        <x:v>40</x:v>
      </x:c>
      <x:c r="H340" s="141" t="str">
        <x:v>Yes</x:v>
      </x:c>
      <x:c r="I340" s="141" t="n">
        <x:v>5</x:v>
      </x:c>
      <x:c r="J340" s="141" t="str">
        <x:v>HRIS</x:v>
      </x:c>
    </x:row>
    <x:row r="341">
      <x:c r="A341" s="141" t="str">
        <x:v>TKT-0336</x:v>
      </x:c>
      <x:c r="B341" s="171" t="n">
        <x:v>46368</x:v>
      </x:c>
      <x:c r="C341" s="141" t="str">
        <x:v>Q4</x:v>
      </x:c>
      <x:c r="D341" s="141" t="str">
        <x:v>Grievance routing</x:v>
      </x:c>
      <x:c r="E341" s="141" t="str">
        <x:v>Low</x:v>
      </x:c>
      <x:c r="F341" s="141" t="n">
        <x:v>33</x:v>
      </x:c>
      <x:c r="G341" s="141" t="n">
        <x:v>40</x:v>
      </x:c>
      <x:c r="H341" s="141" t="str">
        <x:v>Yes</x:v>
      </x:c>
      <x:c r="I341" s="141" t="n">
        <x:v>5</x:v>
      </x:c>
      <x:c r="J341" s="141" t="str">
        <x:v>Manager referral</x:v>
      </x:c>
    </x:row>
    <x:row r="342">
      <x:c r="A342" s="141" t="str">
        <x:v>TKT-0337</x:v>
      </x:c>
      <x:c r="B342" s="171" t="n">
        <x:v>46382</x:v>
      </x:c>
      <x:c r="C342" s="141" t="str">
        <x:v>Q4</x:v>
      </x:c>
      <x:c r="D342" s="141" t="str">
        <x:v>Attendance correction</x:v>
      </x:c>
      <x:c r="E342" s="141" t="str">
        <x:v>Low</x:v>
      </x:c>
      <x:c r="F342" s="141" t="n">
        <x:v>30.8</x:v>
      </x:c>
      <x:c r="G342" s="141" t="n">
        <x:v>40</x:v>
      </x:c>
      <x:c r="H342" s="141" t="str">
        <x:v>Yes</x:v>
      </x:c>
      <x:c r="I342" s="141" t="n">
        <x:v>4</x:v>
      </x:c>
      <x:c r="J342" s="141" t="str">
        <x:v>Walk-in</x:v>
      </x:c>
    </x:row>
    <x:row r="343">
      <x:c r="A343" s="141" t="str">
        <x:v>TKT-0338</x:v>
      </x:c>
      <x:c r="B343" s="171" t="n">
        <x:v>46382</x:v>
      </x:c>
      <x:c r="C343" s="141" t="str">
        <x:v>Q4</x:v>
      </x:c>
      <x:c r="D343" s="141" t="str">
        <x:v>Leave correction</x:v>
      </x:c>
      <x:c r="E343" s="141" t="str">
        <x:v>High</x:v>
      </x:c>
      <x:c r="F343" s="141" t="n">
        <x:v>47.5</x:v>
      </x:c>
      <x:c r="G343" s="141" t="n">
        <x:v>40</x:v>
      </x:c>
      <x:c r="H343" s="141" t="str">
        <x:v>No</x:v>
      </x:c>
      <x:c r="I343" s="141" t="n">
        <x:v>1</x:v>
      </x:c>
      <x:c r="J343" s="141" t="str">
        <x:v>Email</x:v>
      </x:c>
    </x:row>
    <x:row r="344">
      <x:c r="A344" s="141" t="str">
        <x:v>TKT-0339</x:v>
      </x:c>
      <x:c r="B344" s="171" t="n">
        <x:v>46364</x:v>
      </x:c>
      <x:c r="C344" s="141" t="str">
        <x:v>Q4</x:v>
      </x:c>
      <x:c r="D344" s="141" t="str">
        <x:v>Payroll query</x:v>
      </x:c>
      <x:c r="E344" s="141" t="str">
        <x:v>Medium</x:v>
      </x:c>
      <x:c r="F344" s="141" t="n">
        <x:v>23.7</x:v>
      </x:c>
      <x:c r="G344" s="141" t="n">
        <x:v>40</x:v>
      </x:c>
      <x:c r="H344" s="141" t="str">
        <x:v>Yes</x:v>
      </x:c>
      <x:c r="I344" s="141" t="n">
        <x:v>4</x:v>
      </x:c>
      <x:c r="J344" s="141" t="str">
        <x:v>Manager referral</x:v>
      </x:c>
    </x:row>
    <x:row r="345">
      <x:c r="A345" s="141" t="str">
        <x:v>TKT-0340</x:v>
      </x:c>
      <x:c r="B345" s="171" t="n">
        <x:v>46366</x:v>
      </x:c>
      <x:c r="C345" s="141" t="str">
        <x:v>Q4</x:v>
      </x:c>
      <x:c r="D345" s="141" t="str">
        <x:v>Payroll query</x:v>
      </x:c>
      <x:c r="E345" s="141" t="str">
        <x:v>Low</x:v>
      </x:c>
      <x:c r="F345" s="141" t="n">
        <x:v>9.6</x:v>
      </x:c>
      <x:c r="G345" s="141" t="n">
        <x:v>40</x:v>
      </x:c>
      <x:c r="H345" s="141" t="str">
        <x:v>Yes</x:v>
      </x:c>
      <x:c r="I345" s="141" t="n">
        <x:v>4</x:v>
      </x:c>
      <x:c r="J345" s="141" t="str">
        <x:v>HRIS</x:v>
      </x:c>
    </x:row>
    <x:row r="346">
      <x:c r="A346" s="141" t="str">
        <x:v>TKT-0341</x:v>
      </x:c>
      <x:c r="B346" s="171" t="n">
        <x:v>46361</x:v>
      </x:c>
      <x:c r="C346" s="141" t="str">
        <x:v>Q4</x:v>
      </x:c>
      <x:c r="D346" s="141" t="str">
        <x:v>HRIS access</x:v>
      </x:c>
      <x:c r="E346" s="141" t="str">
        <x:v>Low</x:v>
      </x:c>
      <x:c r="F346" s="141" t="n">
        <x:v>19.9</x:v>
      </x:c>
      <x:c r="G346" s="141" t="n">
        <x:v>40</x:v>
      </x:c>
      <x:c r="H346" s="141" t="str">
        <x:v>Yes</x:v>
      </x:c>
      <x:c r="I346" s="141" t="n">
        <x:v>5</x:v>
      </x:c>
      <x:c r="J346" s="141" t="str">
        <x:v>Walk-in</x:v>
      </x:c>
    </x:row>
    <x:row r="347">
      <x:c r="A347" s="141" t="str">
        <x:v>TKT-0342</x:v>
      </x:c>
      <x:c r="B347" s="171" t="n">
        <x:v>46367</x:v>
      </x:c>
      <x:c r="C347" s="141" t="str">
        <x:v>Q4</x:v>
      </x:c>
      <x:c r="D347" s="141" t="str">
        <x:v>HRIS access</x:v>
      </x:c>
      <x:c r="E347" s="141" t="str">
        <x:v>Low</x:v>
      </x:c>
      <x:c r="F347" s="141" t="n">
        <x:v>35.6</x:v>
      </x:c>
      <x:c r="G347" s="141" t="n">
        <x:v>40</x:v>
      </x:c>
      <x:c r="H347" s="141" t="str">
        <x:v>Yes</x:v>
      </x:c>
      <x:c r="I347" s="141" t="n">
        <x:v>5</x:v>
      </x:c>
      <x:c r="J347" s="141" t="str">
        <x:v>Manager referral</x:v>
      </x:c>
    </x:row>
    <x:row r="348">
      <x:c r="A348" s="141" t="str">
        <x:v>TKT-0343</x:v>
      </x:c>
      <x:c r="B348" s="171" t="n">
        <x:v>46363</x:v>
      </x:c>
      <x:c r="C348" s="141" t="str">
        <x:v>Q4</x:v>
      </x:c>
      <x:c r="D348" s="141" t="str">
        <x:v>Benefit query</x:v>
      </x:c>
      <x:c r="E348" s="141" t="str">
        <x:v>Low</x:v>
      </x:c>
      <x:c r="F348" s="141" t="n">
        <x:v>5.9</x:v>
      </x:c>
      <x:c r="G348" s="141" t="n">
        <x:v>40</x:v>
      </x:c>
      <x:c r="H348" s="141" t="str">
        <x:v>Yes</x:v>
      </x:c>
      <x:c r="I348" s="141" t="n">
        <x:v>5</x:v>
      </x:c>
      <x:c r="J348" s="141" t="str">
        <x:v>Email</x:v>
      </x:c>
    </x:row>
    <x:row r="349">
      <x:c r="A349" s="141" t="str">
        <x:v>TKT-0344</x:v>
      </x:c>
      <x:c r="B349" s="171" t="n">
        <x:v>46386</x:v>
      </x:c>
      <x:c r="C349" s="141" t="str">
        <x:v>Q4</x:v>
      </x:c>
      <x:c r="D349" s="141" t="str">
        <x:v>Grievance routing</x:v>
      </x:c>
      <x:c r="E349" s="141" t="str">
        <x:v>Medium</x:v>
      </x:c>
      <x:c r="F349" s="141" t="n">
        <x:v>20</x:v>
      </x:c>
      <x:c r="G349" s="141" t="n">
        <x:v>40</x:v>
      </x:c>
      <x:c r="H349" s="141" t="str">
        <x:v>Yes</x:v>
      </x:c>
      <x:c r="I349" s="141" t="n">
        <x:v>4</x:v>
      </x:c>
      <x:c r="J349" s="141" t="str">
        <x:v>Email</x:v>
      </x:c>
    </x:row>
    <x:row r="350">
      <x:c r="A350" s="141" t="str">
        <x:v>TKT-0345</x:v>
      </x:c>
      <x:c r="B350" s="171" t="n">
        <x:v>46370</x:v>
      </x:c>
      <x:c r="C350" s="141" t="str">
        <x:v>Q4</x:v>
      </x:c>
      <x:c r="D350" s="141" t="str">
        <x:v>Grievance routing</x:v>
      </x:c>
      <x:c r="E350" s="141" t="str">
        <x:v>High</x:v>
      </x:c>
      <x:c r="F350" s="141" t="n">
        <x:v>25.5</x:v>
      </x:c>
      <x:c r="G350" s="141" t="n">
        <x:v>40</x:v>
      </x:c>
      <x:c r="H350" s="141" t="str">
        <x:v>Yes</x:v>
      </x:c>
      <x:c r="I350" s="141" t="n">
        <x:v>5</x:v>
      </x:c>
      <x:c r="J350" s="141" t="str">
        <x:v>HRIS</x:v>
      </x:c>
    </x:row>
    <x:row r="351">
      <x:c r="A351" s="141" t="str">
        <x:v>TKT-0346</x:v>
      </x:c>
      <x:c r="B351" s="171" t="n">
        <x:v>46385</x:v>
      </x:c>
      <x:c r="C351" s="141" t="str">
        <x:v>Q4</x:v>
      </x:c>
      <x:c r="D351" s="141" t="str">
        <x:v>Payroll query</x:v>
      </x:c>
      <x:c r="E351" s="141" t="str">
        <x:v>Low</x:v>
      </x:c>
      <x:c r="F351" s="141" t="n">
        <x:v>31.7</x:v>
      </x:c>
      <x:c r="G351" s="141" t="n">
        <x:v>40</x:v>
      </x:c>
      <x:c r="H351" s="141" t="str">
        <x:v>Yes</x:v>
      </x:c>
      <x:c r="I351" s="141" t="n">
        <x:v>4</x:v>
      </x:c>
      <x:c r="J351" s="141" t="str">
        <x:v>Walk-in</x:v>
      </x:c>
    </x:row>
    <x:row r="352">
      <x:c r="A352" s="141" t="str">
        <x:v>TKT-0347</x:v>
      </x:c>
      <x:c r="B352" s="171" t="n">
        <x:v>46380</x:v>
      </x:c>
      <x:c r="C352" s="141" t="str">
        <x:v>Q4</x:v>
      </x:c>
      <x:c r="D352" s="141" t="str">
        <x:v>Employee letter</x:v>
      </x:c>
      <x:c r="E352" s="141" t="str">
        <x:v>Medium</x:v>
      </x:c>
      <x:c r="F352" s="141" t="n">
        <x:v>7.7</x:v>
      </x:c>
      <x:c r="G352" s="141" t="n">
        <x:v>40</x:v>
      </x:c>
      <x:c r="H352" s="141" t="str">
        <x:v>Yes</x:v>
      </x:c>
      <x:c r="I352" s="141" t="n">
        <x:v>4</x:v>
      </x:c>
      <x:c r="J352" s="141" t="str">
        <x:v>HRIS</x:v>
      </x:c>
    </x:row>
    <x:row r="353">
      <x:c r="A353" s="141" t="str">
        <x:v>TKT-0348</x:v>
      </x:c>
      <x:c r="B353" s="171" t="n">
        <x:v>46357</x:v>
      </x:c>
      <x:c r="C353" s="141" t="str">
        <x:v>Q4</x:v>
      </x:c>
      <x:c r="D353" s="141" t="str">
        <x:v>Leave correction</x:v>
      </x:c>
      <x:c r="E353" s="141" t="str">
        <x:v>Medium</x:v>
      </x:c>
      <x:c r="F353" s="141" t="n">
        <x:v>16.8</x:v>
      </x:c>
      <x:c r="G353" s="141" t="n">
        <x:v>40</x:v>
      </x:c>
      <x:c r="H353" s="141" t="str">
        <x:v>Yes</x:v>
      </x:c>
      <x:c r="I353" s="141" t="n">
        <x:v>5</x:v>
      </x:c>
      <x:c r="J353" s="141" t="str">
        <x:v>Email</x:v>
      </x:c>
    </x:row>
    <x:row r="354">
      <x:c r="A354" s="141" t="str">
        <x:v>TKT-0349</x:v>
      </x:c>
      <x:c r="B354" s="171" t="n">
        <x:v>46364</x:v>
      </x:c>
      <x:c r="C354" s="141" t="str">
        <x:v>Q4</x:v>
      </x:c>
      <x:c r="D354" s="141" t="str">
        <x:v>Attendance correction</x:v>
      </x:c>
      <x:c r="E354" s="141" t="str">
        <x:v>Low</x:v>
      </x:c>
      <x:c r="F354" s="141" t="n">
        <x:v>31.4</x:v>
      </x:c>
      <x:c r="G354" s="141" t="n">
        <x:v>40</x:v>
      </x:c>
      <x:c r="H354" s="141" t="str">
        <x:v>Yes</x:v>
      </x:c>
      <x:c r="I354" s="141" t="n">
        <x:v>5</x:v>
      </x:c>
      <x:c r="J354" s="141" t="str">
        <x:v>Walk-in</x:v>
      </x:c>
    </x:row>
    <x:row r="355">
      <x:c r="A355" s="141" t="str">
        <x:v>TKT-0350</x:v>
      </x:c>
      <x:c r="B355" s="171" t="n">
        <x:v>46381</x:v>
      </x:c>
      <x:c r="C355" s="141" t="str">
        <x:v>Q4</x:v>
      </x:c>
      <x:c r="D355" s="141" t="str">
        <x:v>Attendance correction</x:v>
      </x:c>
      <x:c r="E355" s="141" t="str">
        <x:v>Medium</x:v>
      </x:c>
      <x:c r="F355" s="141" t="n">
        <x:v>15.4</x:v>
      </x:c>
      <x:c r="G355" s="141" t="n">
        <x:v>40</x:v>
      </x:c>
      <x:c r="H355" s="141" t="str">
        <x:v>Yes</x:v>
      </x:c>
      <x:c r="I355" s="141" t="n">
        <x:v>4</x:v>
      </x:c>
      <x:c r="J355" s="141" t="str">
        <x:v>Walk-in</x:v>
      </x:c>
    </x:row>
    <x:row r="356">
      <x:c r="A356" s="141" t="str">
        <x:v>TKT-0351</x:v>
      </x:c>
      <x:c r="B356" s="171" t="n">
        <x:v>46370</x:v>
      </x:c>
      <x:c r="C356" s="141" t="str">
        <x:v>Q4</x:v>
      </x:c>
      <x:c r="D356" s="141" t="str">
        <x:v>Payroll query</x:v>
      </x:c>
      <x:c r="E356" s="141" t="str">
        <x:v>Low</x:v>
      </x:c>
      <x:c r="F356" s="141" t="n">
        <x:v>24.3</x:v>
      </x:c>
      <x:c r="G356" s="141" t="n">
        <x:v>40</x:v>
      </x:c>
      <x:c r="H356" s="141" t="str">
        <x:v>Yes</x:v>
      </x:c>
      <x:c r="I356" s="141" t="n">
        <x:v>4</x:v>
      </x:c>
      <x:c r="J356" s="141" t="str">
        <x:v>HRIS</x:v>
      </x:c>
    </x:row>
    <x:row r="357">
      <x:c r="A357" s="141" t="str">
        <x:v>TKT-0352</x:v>
      </x:c>
      <x:c r="B357" s="171" t="n">
        <x:v>46367</x:v>
      </x:c>
      <x:c r="C357" s="141" t="str">
        <x:v>Q4</x:v>
      </x:c>
      <x:c r="D357" s="141" t="str">
        <x:v>Attendance correction</x:v>
      </x:c>
      <x:c r="E357" s="141" t="str">
        <x:v>Medium</x:v>
      </x:c>
      <x:c r="F357" s="141" t="n">
        <x:v>38.4</x:v>
      </x:c>
      <x:c r="G357" s="141" t="n">
        <x:v>40</x:v>
      </x:c>
      <x:c r="H357" s="141" t="str">
        <x:v>Yes</x:v>
      </x:c>
      <x:c r="I357" s="141" t="n">
        <x:v>4</x:v>
      </x:c>
      <x:c r="J357" s="141" t="str">
        <x:v>Manager referral</x:v>
      </x:c>
    </x:row>
    <x:row r="358">
      <x:c r="A358" s="141" t="str">
        <x:v>TKT-0353</x:v>
      </x:c>
      <x:c r="B358" s="171" t="n">
        <x:v>46380</x:v>
      </x:c>
      <x:c r="C358" s="141" t="str">
        <x:v>Q4</x:v>
      </x:c>
      <x:c r="D358" s="141" t="str">
        <x:v>Leave correction</x:v>
      </x:c>
      <x:c r="E358" s="141" t="str">
        <x:v>Medium</x:v>
      </x:c>
      <x:c r="F358" s="141" t="n">
        <x:v>35.3</x:v>
      </x:c>
      <x:c r="G358" s="141" t="n">
        <x:v>40</x:v>
      </x:c>
      <x:c r="H358" s="141" t="str">
        <x:v>Yes</x:v>
      </x:c>
      <x:c r="I358" s="141" t="n">
        <x:v>5</x:v>
      </x:c>
      <x:c r="J358" s="141" t="str">
        <x:v>Email</x:v>
      </x:c>
    </x:row>
    <x:row r="359">
      <x:c r="A359" s="141" t="str">
        <x:v>TKT-0354</x:v>
      </x:c>
      <x:c r="B359" s="171" t="n">
        <x:v>46357</x:v>
      </x:c>
      <x:c r="C359" s="141" t="str">
        <x:v>Q4</x:v>
      </x:c>
      <x:c r="D359" s="141" t="str">
        <x:v>HRIS access</x:v>
      </x:c>
      <x:c r="E359" s="141" t="str">
        <x:v>Medium</x:v>
      </x:c>
      <x:c r="F359" s="141" t="n">
        <x:v>12.5</x:v>
      </x:c>
      <x:c r="G359" s="141" t="n">
        <x:v>40</x:v>
      </x:c>
      <x:c r="H359" s="141" t="str">
        <x:v>Yes</x:v>
      </x:c>
      <x:c r="I359" s="141" t="n">
        <x:v>5</x:v>
      </x:c>
      <x:c r="J359" s="141" t="str">
        <x:v>HRIS</x:v>
      </x:c>
    </x:row>
    <x:row r="360">
      <x:c r="A360" s="141" t="str">
        <x:v>TKT-0355</x:v>
      </x:c>
      <x:c r="B360" s="171" t="n">
        <x:v>46370</x:v>
      </x:c>
      <x:c r="C360" s="141" t="str">
        <x:v>Q4</x:v>
      </x:c>
      <x:c r="D360" s="141" t="str">
        <x:v>HRIS access</x:v>
      </x:c>
      <x:c r="E360" s="141" t="str">
        <x:v>Low</x:v>
      </x:c>
      <x:c r="F360" s="141" t="n">
        <x:v>31.5</x:v>
      </x:c>
      <x:c r="G360" s="141" t="n">
        <x:v>40</x:v>
      </x:c>
      <x:c r="H360" s="141" t="str">
        <x:v>Yes</x:v>
      </x:c>
      <x:c r="I360" s="141" t="n">
        <x:v>4</x:v>
      </x:c>
      <x:c r="J360" s="141" t="str">
        <x:v>HRIS</x:v>
      </x:c>
    </x:row>
    <x:row r="361">
      <x:c r="A361" s="141" t="str">
        <x:v>TKT-0356</x:v>
      </x:c>
      <x:c r="B361" s="171" t="n">
        <x:v>46375</x:v>
      </x:c>
      <x:c r="C361" s="141" t="str">
        <x:v>Q4</x:v>
      </x:c>
      <x:c r="D361" s="141" t="str">
        <x:v>Employee letter</x:v>
      </x:c>
      <x:c r="E361" s="141" t="str">
        <x:v>Medium</x:v>
      </x:c>
      <x:c r="F361" s="141" t="n">
        <x:v>38.3</x:v>
      </x:c>
      <x:c r="G361" s="141" t="n">
        <x:v>40</x:v>
      </x:c>
      <x:c r="H361" s="141" t="str">
        <x:v>Yes</x:v>
      </x:c>
      <x:c r="I361" s="141" t="n">
        <x:v>5</x:v>
      </x:c>
      <x:c r="J361" s="141" t="str">
        <x:v>Walk-in</x:v>
      </x:c>
    </x:row>
    <x:row r="362">
      <x:c r="A362" s="141" t="str">
        <x:v>TKT-0357</x:v>
      </x:c>
      <x:c r="B362" s="171" t="n">
        <x:v>46384</x:v>
      </x:c>
      <x:c r="C362" s="141" t="str">
        <x:v>Q4</x:v>
      </x:c>
      <x:c r="D362" s="141" t="str">
        <x:v>Attendance correction</x:v>
      </x:c>
      <x:c r="E362" s="141" t="str">
        <x:v>Medium</x:v>
      </x:c>
      <x:c r="F362" s="141" t="n">
        <x:v>12.9</x:v>
      </x:c>
      <x:c r="G362" s="141" t="n">
        <x:v>40</x:v>
      </x:c>
      <x:c r="H362" s="141" t="str">
        <x:v>Yes</x:v>
      </x:c>
      <x:c r="I362" s="141" t="n">
        <x:v>4</x:v>
      </x:c>
      <x:c r="J362" s="141" t="str">
        <x:v>Manager referral</x:v>
      </x:c>
    </x:row>
    <x:row r="363">
      <x:c r="A363" s="141" t="str">
        <x:v>TKT-0358</x:v>
      </x:c>
      <x:c r="B363" s="171" t="n">
        <x:v>46382</x:v>
      </x:c>
      <x:c r="C363" s="141" t="str">
        <x:v>Q4</x:v>
      </x:c>
      <x:c r="D363" s="141" t="str">
        <x:v>Payroll query</x:v>
      </x:c>
      <x:c r="E363" s="141" t="str">
        <x:v>Low</x:v>
      </x:c>
      <x:c r="F363" s="141" t="n">
        <x:v>25.9</x:v>
      </x:c>
      <x:c r="G363" s="141" t="n">
        <x:v>40</x:v>
      </x:c>
      <x:c r="H363" s="141" t="str">
        <x:v>Yes</x:v>
      </x:c>
      <x:c r="I363" s="141" t="n">
        <x:v>5</x:v>
      </x:c>
      <x:c r="J363" s="141" t="str">
        <x:v>Manager referral</x:v>
      </x:c>
    </x:row>
    <x:row r="364">
      <x:c r="A364" s="141" t="str">
        <x:v>TKT-0359</x:v>
      </x:c>
      <x:c r="B364" s="171" t="n">
        <x:v>46375</x:v>
      </x:c>
      <x:c r="C364" s="141" t="str">
        <x:v>Q4</x:v>
      </x:c>
      <x:c r="D364" s="141" t="str">
        <x:v>Attendance correction</x:v>
      </x:c>
      <x:c r="E364" s="141" t="str">
        <x:v>Medium</x:v>
      </x:c>
      <x:c r="F364" s="141" t="n">
        <x:v>6.6</x:v>
      </x:c>
      <x:c r="G364" s="141" t="n">
        <x:v>40</x:v>
      </x:c>
      <x:c r="H364" s="141" t="str">
        <x:v>Yes</x:v>
      </x:c>
      <x:c r="I364" s="141" t="n">
        <x:v>5</x:v>
      </x:c>
      <x:c r="J364" s="141" t="str">
        <x:v>Walk-in</x:v>
      </x:c>
    </x:row>
    <x:row r="365">
      <x:c r="A365" s="141" t="str">
        <x:v>TKT-0360</x:v>
      </x:c>
      <x:c r="B365" s="171" t="n">
        <x:v>46386</x:v>
      </x:c>
      <x:c r="C365" s="141" t="str">
        <x:v>Q4</x:v>
      </x:c>
      <x:c r="D365" s="141" t="str">
        <x:v>Employee letter</x:v>
      </x:c>
      <x:c r="E365" s="141" t="str">
        <x:v>Medium</x:v>
      </x:c>
      <x:c r="F365" s="141" t="n">
        <x:v>23.3</x:v>
      </x:c>
      <x:c r="G365" s="141" t="n">
        <x:v>40</x:v>
      </x:c>
      <x:c r="H365" s="141" t="str">
        <x:v>Yes</x:v>
      </x:c>
      <x:c r="I365" s="141" t="n">
        <x:v>5</x:v>
      </x:c>
      <x:c r="J365" s="141" t="str">
        <x:v>Email</x:v>
      </x:c>
    </x:row>
    <x:row r="366">
      <x:c r="A366" s="141" t="str">
        <x:v>TKT-0361</x:v>
      </x:c>
      <x:c r="B366" s="171" t="n">
        <x:v>46377</x:v>
      </x:c>
      <x:c r="C366" s="141" t="str">
        <x:v>Q4</x:v>
      </x:c>
      <x:c r="D366" s="141" t="str">
        <x:v>Leave correction</x:v>
      </x:c>
      <x:c r="E366" s="141" t="str">
        <x:v>High</x:v>
      </x:c>
      <x:c r="F366" s="141" t="n">
        <x:v>33.4</x:v>
      </x:c>
      <x:c r="G366" s="141" t="n">
        <x:v>40</x:v>
      </x:c>
      <x:c r="H366" s="141" t="str">
        <x:v>Yes</x:v>
      </x:c>
      <x:c r="I366" s="141" t="n">
        <x:v>5</x:v>
      </x:c>
      <x:c r="J366" s="141" t="str">
        <x:v>HRIS</x:v>
      </x:c>
    </x:row>
    <x:row r="367">
      <x:c r="A367" s="141" t="str">
        <x:v>TKT-0362</x:v>
      </x:c>
      <x:c r="B367" s="171" t="n">
        <x:v>46377</x:v>
      </x:c>
      <x:c r="C367" s="141" t="str">
        <x:v>Q4</x:v>
      </x:c>
      <x:c r="D367" s="141" t="str">
        <x:v>HRIS access</x:v>
      </x:c>
      <x:c r="E367" s="141" t="str">
        <x:v>Low</x:v>
      </x:c>
      <x:c r="F367" s="141" t="n">
        <x:v>14.3</x:v>
      </x:c>
      <x:c r="G367" s="141" t="n">
        <x:v>40</x:v>
      </x:c>
      <x:c r="H367" s="141" t="str">
        <x:v>Yes</x:v>
      </x:c>
      <x:c r="I367" s="141" t="n">
        <x:v>5</x:v>
      </x:c>
      <x:c r="J367" s="141" t="str">
        <x:v>Manager referral</x:v>
      </x:c>
    </x:row>
    <x:row r="368">
      <x:c r="A368" s="141" t="str">
        <x:v>TKT-0363</x:v>
      </x:c>
      <x:c r="B368" s="171" t="n">
        <x:v>46367</x:v>
      </x:c>
      <x:c r="C368" s="141" t="str">
        <x:v>Q4</x:v>
      </x:c>
      <x:c r="D368" s="141" t="str">
        <x:v>Leave correction</x:v>
      </x:c>
      <x:c r="E368" s="141" t="str">
        <x:v>Medium</x:v>
      </x:c>
      <x:c r="F368" s="141" t="n">
        <x:v>10.8</x:v>
      </x:c>
      <x:c r="G368" s="141" t="n">
        <x:v>40</x:v>
      </x:c>
      <x:c r="H368" s="141" t="str">
        <x:v>Yes</x:v>
      </x:c>
      <x:c r="I368" s="141" t="n">
        <x:v>4</x:v>
      </x:c>
      <x:c r="J368" s="141" t="str">
        <x:v>Walk-in</x:v>
      </x:c>
    </x:row>
    <x:row r="369">
      <x:c r="A369" s="141" t="str">
        <x:v>TKT-0364</x:v>
      </x:c>
      <x:c r="B369" s="171" t="n">
        <x:v>46380</x:v>
      </x:c>
      <x:c r="C369" s="141" t="str">
        <x:v>Q4</x:v>
      </x:c>
      <x:c r="D369" s="141" t="str">
        <x:v>Grievance routing</x:v>
      </x:c>
      <x:c r="E369" s="141" t="str">
        <x:v>Low</x:v>
      </x:c>
      <x:c r="F369" s="141" t="n">
        <x:v>20.4</x:v>
      </x:c>
      <x:c r="G369" s="141" t="n">
        <x:v>40</x:v>
      </x:c>
      <x:c r="H369" s="141" t="str">
        <x:v>Yes</x:v>
      </x:c>
      <x:c r="I369" s="141" t="n">
        <x:v>5</x:v>
      </x:c>
      <x:c r="J369" s="141" t="str">
        <x:v>Email</x:v>
      </x:c>
    </x:row>
    <x:row r="370">
      <x:c r="A370" s="141" t="str">
        <x:v>TKT-0365</x:v>
      </x:c>
      <x:c r="B370" s="171" t="n">
        <x:v>46370</x:v>
      </x:c>
      <x:c r="C370" s="141" t="str">
        <x:v>Q4</x:v>
      </x:c>
      <x:c r="D370" s="141" t="str">
        <x:v>Leave correction</x:v>
      </x:c>
      <x:c r="E370" s="141" t="str">
        <x:v>Low</x:v>
      </x:c>
      <x:c r="F370" s="141" t="n">
        <x:v>37.2</x:v>
      </x:c>
      <x:c r="G370" s="141" t="n">
        <x:v>40</x:v>
      </x:c>
      <x:c r="H370" s="141" t="str">
        <x:v>Yes</x:v>
      </x:c>
      <x:c r="I370" s="141" t="n">
        <x:v>5</x:v>
      </x:c>
      <x:c r="J370" s="141" t="str">
        <x:v>Manager referral</x:v>
      </x:c>
    </x:row>
    <x:row r="371">
      <x:c r="A371" s="141" t="str">
        <x:v>TKT-0366</x:v>
      </x:c>
      <x:c r="B371" s="171" t="n">
        <x:v>46361</x:v>
      </x:c>
      <x:c r="C371" s="141" t="str">
        <x:v>Q4</x:v>
      </x:c>
      <x:c r="D371" s="141" t="str">
        <x:v>HRIS access</x:v>
      </x:c>
      <x:c r="E371" s="141" t="str">
        <x:v>Medium</x:v>
      </x:c>
      <x:c r="F371" s="141" t="n">
        <x:v>32.9</x:v>
      </x:c>
      <x:c r="G371" s="141" t="n">
        <x:v>40</x:v>
      </x:c>
      <x:c r="H371" s="141" t="str">
        <x:v>Yes</x:v>
      </x:c>
      <x:c r="I371" s="141" t="n">
        <x:v>4</x:v>
      </x:c>
      <x:c r="J371" s="141" t="str">
        <x:v>Email</x:v>
      </x:c>
    </x:row>
    <x:row r="372">
      <x:c r="A372" s="141" t="str">
        <x:v>TKT-0367</x:v>
      </x:c>
      <x:c r="B372" s="171" t="n">
        <x:v>46367</x:v>
      </x:c>
      <x:c r="C372" s="141" t="str">
        <x:v>Q4</x:v>
      </x:c>
      <x:c r="D372" s="141" t="str">
        <x:v>Benefit query</x:v>
      </x:c>
      <x:c r="E372" s="141" t="str">
        <x:v>Low</x:v>
      </x:c>
      <x:c r="F372" s="141" t="n">
        <x:v>106.8</x:v>
      </x:c>
      <x:c r="G372" s="141" t="n">
        <x:v>40</x:v>
      </x:c>
      <x:c r="H372" s="141" t="str">
        <x:v>No</x:v>
      </x:c>
      <x:c r="I372" s="141" t="n">
        <x:v>1</x:v>
      </x:c>
      <x:c r="J372" s="141" t="str">
        <x:v>Walk-in</x:v>
      </x:c>
    </x:row>
    <x:row r="373">
      <x:c r="A373" s="141" t="str">
        <x:v>TKT-0368</x:v>
      </x:c>
      <x:c r="B373" s="171" t="n">
        <x:v>46383</x:v>
      </x:c>
      <x:c r="C373" s="141" t="str">
        <x:v>Q4</x:v>
      </x:c>
      <x:c r="D373" s="141" t="str">
        <x:v>Attendance correction</x:v>
      </x:c>
      <x:c r="E373" s="141" t="str">
        <x:v>Low</x:v>
      </x:c>
      <x:c r="F373" s="141" t="n">
        <x:v>24.1</x:v>
      </x:c>
      <x:c r="G373" s="141" t="n">
        <x:v>40</x:v>
      </x:c>
      <x:c r="H373" s="141" t="str">
        <x:v>Yes</x:v>
      </x:c>
      <x:c r="I373" s="141" t="n">
        <x:v>5</x:v>
      </x:c>
      <x:c r="J373" s="141" t="str">
        <x:v>HRIS</x:v>
      </x:c>
    </x:row>
    <x:row r="374">
      <x:c r="A374" s="141" t="str">
        <x:v>TKT-0369</x:v>
      </x:c>
      <x:c r="B374" s="171" t="n">
        <x:v>46364</x:v>
      </x:c>
      <x:c r="C374" s="141" t="str">
        <x:v>Q4</x:v>
      </x:c>
      <x:c r="D374" s="141" t="str">
        <x:v>HRIS access</x:v>
      </x:c>
      <x:c r="E374" s="141" t="str">
        <x:v>Medium</x:v>
      </x:c>
      <x:c r="F374" s="141" t="n">
        <x:v>32.1</x:v>
      </x:c>
      <x:c r="G374" s="141" t="n">
        <x:v>40</x:v>
      </x:c>
      <x:c r="H374" s="141" t="str">
        <x:v>Yes</x:v>
      </x:c>
      <x:c r="I374" s="141" t="n">
        <x:v>5</x:v>
      </x:c>
      <x:c r="J374" s="141" t="str">
        <x:v>HRIS</x:v>
      </x:c>
    </x:row>
    <x:row r="375">
      <x:c r="A375" s="141" t="str">
        <x:v>TKT-0370</x:v>
      </x:c>
      <x:c r="B375" s="171" t="n">
        <x:v>46372</x:v>
      </x:c>
      <x:c r="C375" s="141" t="str">
        <x:v>Q4</x:v>
      </x:c>
      <x:c r="D375" s="141" t="str">
        <x:v>Employee letter</x:v>
      </x:c>
      <x:c r="E375" s="141" t="str">
        <x:v>Medium</x:v>
      </x:c>
      <x:c r="F375" s="141" t="n">
        <x:v>30.4</x:v>
      </x:c>
      <x:c r="G375" s="141" t="n">
        <x:v>40</x:v>
      </x:c>
      <x:c r="H375" s="141" t="str">
        <x:v>Yes</x:v>
      </x:c>
      <x:c r="I375" s="141" t="n">
        <x:v>4</x:v>
      </x:c>
      <x:c r="J375" s="141" t="str">
        <x:v>HRIS</x:v>
      </x:c>
    </x:row>
    <x:row r="376">
      <x:c r="A376" s="141" t="str">
        <x:v>TKT-0371</x:v>
      </x:c>
      <x:c r="B376" s="171" t="n">
        <x:v>46361</x:v>
      </x:c>
      <x:c r="C376" s="141" t="str">
        <x:v>Q4</x:v>
      </x:c>
      <x:c r="D376" s="141" t="str">
        <x:v>Benefit query</x:v>
      </x:c>
      <x:c r="E376" s="141" t="str">
        <x:v>Medium</x:v>
      </x:c>
      <x:c r="F376" s="141" t="n">
        <x:v>27.5</x:v>
      </x:c>
      <x:c r="G376" s="141" t="n">
        <x:v>40</x:v>
      </x:c>
      <x:c r="H376" s="141" t="str">
        <x:v>Yes</x:v>
      </x:c>
      <x:c r="I376" s="141" t="n">
        <x:v>4</x:v>
      </x:c>
      <x:c r="J376" s="141" t="str">
        <x:v>Email</x:v>
      </x:c>
    </x:row>
    <x:row r="377">
      <x:c r="A377" s="141" t="str">
        <x:v>TKT-0372</x:v>
      </x:c>
      <x:c r="B377" s="171" t="n">
        <x:v>46364</x:v>
      </x:c>
      <x:c r="C377" s="141" t="str">
        <x:v>Q4</x:v>
      </x:c>
      <x:c r="D377" s="141" t="str">
        <x:v>Leave correction</x:v>
      </x:c>
      <x:c r="E377" s="141" t="str">
        <x:v>Low</x:v>
      </x:c>
      <x:c r="F377" s="141" t="n">
        <x:v>6.2</x:v>
      </x:c>
      <x:c r="G377" s="141" t="n">
        <x:v>40</x:v>
      </x:c>
      <x:c r="H377" s="141" t="str">
        <x:v>Yes</x:v>
      </x:c>
      <x:c r="I377" s="141" t="n">
        <x:v>5</x:v>
      </x:c>
      <x:c r="J377" s="141" t="str">
        <x:v>Manager referral</x:v>
      </x:c>
    </x:row>
    <x:row r="378">
      <x:c r="A378" s="141" t="str">
        <x:v>TKT-0373</x:v>
      </x:c>
      <x:c r="B378" s="171" t="n">
        <x:v>46363</x:v>
      </x:c>
      <x:c r="C378" s="141" t="str">
        <x:v>Q4</x:v>
      </x:c>
      <x:c r="D378" s="141" t="str">
        <x:v>Grievance routing</x:v>
      </x:c>
      <x:c r="E378" s="141" t="str">
        <x:v>Medium</x:v>
      </x:c>
      <x:c r="F378" s="141" t="n">
        <x:v>38.2</x:v>
      </x:c>
      <x:c r="G378" s="141" t="n">
        <x:v>40</x:v>
      </x:c>
      <x:c r="H378" s="141" t="str">
        <x:v>Yes</x:v>
      </x:c>
      <x:c r="I378" s="141" t="n">
        <x:v>4</x:v>
      </x:c>
      <x:c r="J378" s="141" t="str">
        <x:v>Manager referral</x:v>
      </x:c>
    </x:row>
    <x:row r="379">
      <x:c r="A379" s="141" t="str">
        <x:v>TKT-0374</x:v>
      </x:c>
      <x:c r="B379" s="171" t="n">
        <x:v>46368</x:v>
      </x:c>
      <x:c r="C379" s="141" t="str">
        <x:v>Q4</x:v>
      </x:c>
      <x:c r="D379" s="141" t="str">
        <x:v>Attendance correction</x:v>
      </x:c>
      <x:c r="E379" s="141" t="str">
        <x:v>Low</x:v>
      </x:c>
      <x:c r="F379" s="141" t="n">
        <x:v>31.9</x:v>
      </x:c>
      <x:c r="G379" s="141" t="n">
        <x:v>40</x:v>
      </x:c>
      <x:c r="H379" s="141" t="str">
        <x:v>Yes</x:v>
      </x:c>
      <x:c r="I379" s="141" t="n">
        <x:v>5</x:v>
      </x:c>
      <x:c r="J379" s="141" t="str">
        <x:v>Email</x:v>
      </x:c>
    </x:row>
  </x:sheetData>
  <x:mergeCells>
    <x:mergeCell ref="A1:J2"/>
    <x:mergeCell ref="A3:J3"/>
  </x:mergeCells>
  <x:conditionalFormatting sqref="F6:F379">
    <x:cfRule type="colorScale" priority="1">
      <x:colorScale>
        <x:cfvo type="min"/>
        <x:cfvo type="percentile" val="50"/>
        <x:cfvo type="max"/>
        <x:color rgb="FFFEE2E2"/>
        <x:color rgb="FFFEF3C7"/>
        <x:color rgb="FFDCFCE7"/>
      </x:colorScale>
    </x:cfRule>
  </x:conditionalFormatting>
  <x:conditionalFormatting sqref="I6:I379">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d51b629d617d4486"/>
  </x:tableParts>
</x:worksheet>
</file>

<file path=xl/worksheets/sheet1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24" hidden="0" customWidth="1"/>
    <x:col min="5" max="5" width="14" hidden="0" customWidth="1"/>
    <x:col min="6" max="6" width="13" hidden="0" customWidth="1"/>
    <x:col min="7" max="7" width="14" hidden="0" customWidth="1"/>
    <x:col min="8" max="8" width="14" hidden="0" customWidth="1"/>
    <x:col min="9" max="9" width="14" hidden="0" customWidth="1"/>
    <x:col min="10" max="10" width="14" hidden="0" customWidth="1"/>
    <x:col min="11" max="11" width="14" hidden="0" customWidth="1"/>
  </x:cols>
  <x:sheetData>
    <x:row r="1">
      <x:c r="A1" s="88" t="str">
        <x:v>Employee Relations Case Management</x:v>
      </x:c>
      <x:c r="B1" s="88"/>
      <x:c r="C1" s="88"/>
      <x:c r="D1" s="88"/>
      <x:c r="E1" s="88"/>
      <x:c r="F1" s="88"/>
      <x:c r="G1" s="88"/>
      <x:c r="H1" s="88"/>
      <x:c r="I1" s="88"/>
      <x:c r="J1" s="88"/>
      <x:c r="K1" s="88"/>
    </x:row>
    <x:row r="2">
      <x:c r="A2" s="88"/>
      <x:c r="B2" s="88"/>
      <x:c r="C2" s="88"/>
      <x:c r="D2" s="88"/>
      <x:c r="E2" s="88"/>
      <x:c r="F2" s="88"/>
      <x:c r="G2" s="88"/>
      <x:c r="H2" s="88"/>
      <x:c r="I2" s="88"/>
      <x:c r="J2" s="88"/>
      <x:c r="K2" s="88"/>
    </x:row>
    <x:row r="3">
      <x:c r="A3" s="13" t="str">
        <x:v>Case type, severity, closure days and policy compliance support responsible employee-relations analytics.</x:v>
      </x:c>
      <x:c r="B3" s="13"/>
      <x:c r="C3" s="13"/>
      <x:c r="D3" s="13"/>
      <x:c r="E3" s="13"/>
      <x:c r="F3" s="13"/>
      <x:c r="G3" s="13"/>
      <x:c r="H3" s="13"/>
      <x:c r="I3" s="13"/>
      <x:c r="J3" s="13"/>
      <x:c r="K3" s="13"/>
    </x:row>
    <x:row r="5" ht="30" customHeight="1">
      <x:c r="A5" s="135" t="str">
        <x:v>Case_ID</x:v>
      </x:c>
      <x:c r="B5" s="135" t="str">
        <x:v>Opened_Date</x:v>
      </x:c>
      <x:c r="C5" s="135" t="str">
        <x:v>Quarter</x:v>
      </x:c>
      <x:c r="D5" s="135" t="str">
        <x:v>Case_Type</x:v>
      </x:c>
      <x:c r="E5" s="135" t="str">
        <x:v>Severity</x:v>
      </x:c>
      <x:c r="F5" s="135" t="str">
        <x:v>Closure_Date</x:v>
      </x:c>
      <x:c r="G5" s="135" t="str">
        <x:v>Closure_Days</x:v>
      </x:c>
      <x:c r="H5" s="135" t="str">
        <x:v>SLA_Target_Days</x:v>
      </x:c>
      <x:c r="I5" s="135" t="str">
        <x:v>Closed_Within_SLA</x:v>
      </x:c>
      <x:c r="J5" s="135" t="str">
        <x:v>Outcome</x:v>
      </x:c>
      <x:c r="K5" s="135" t="str">
        <x:v>Policy_Followed</x:v>
      </x:c>
    </x:row>
    <x:row r="6">
      <x:c r="A6" s="141" t="str">
        <x:v>ER-001</x:v>
      </x:c>
      <x:c r="B6" s="171" t="n">
        <x:v>46036</x:v>
      </x:c>
      <x:c r="C6" s="141" t="str">
        <x:v>Q1</x:v>
      </x:c>
      <x:c r="D6" s="141" t="str">
        <x:v>Safety concern</x:v>
      </x:c>
      <x:c r="E6" s="141" t="str">
        <x:v>Medium</x:v>
      </x:c>
      <x:c r="F6" s="171" t="n">
        <x:v>46053</x:v>
      </x:c>
      <x:c r="G6" s="141" t="n">
        <x:v>17</x:v>
      </x:c>
      <x:c r="H6" s="141" t="n">
        <x:v>14</x:v>
      </x:c>
      <x:c r="I6" s="141" t="str">
        <x:v>No</x:v>
      </x:c>
      <x:c r="J6" s="141" t="str">
        <x:v>Resolved</x:v>
      </x:c>
      <x:c r="K6" s="141" t="str">
        <x:v>Yes</x:v>
      </x:c>
    </x:row>
    <x:row r="7">
      <x:c r="A7" s="141" t="str">
        <x:v>ER-002</x:v>
      </x:c>
      <x:c r="B7" s="171" t="n">
        <x:v>46043</x:v>
      </x:c>
      <x:c r="C7" s="141" t="str">
        <x:v>Q1</x:v>
      </x:c>
      <x:c r="D7" s="141" t="str">
        <x:v>Attendance misconduct</x:v>
      </x:c>
      <x:c r="E7" s="141" t="str">
        <x:v>Medium</x:v>
      </x:c>
      <x:c r="F7" s="171" t="n">
        <x:v>46056</x:v>
      </x:c>
      <x:c r="G7" s="141" t="n">
        <x:v>13</x:v>
      </x:c>
      <x:c r="H7" s="141" t="n">
        <x:v>14</x:v>
      </x:c>
      <x:c r="I7" s="141" t="str">
        <x:v>Yes</x:v>
      </x:c>
      <x:c r="J7" s="141" t="str">
        <x:v>Resolved</x:v>
      </x:c>
      <x:c r="K7" s="141" t="str">
        <x:v>Yes</x:v>
      </x:c>
    </x:row>
    <x:row r="8">
      <x:c r="A8" s="141" t="str">
        <x:v>ER-003</x:v>
      </x:c>
      <x:c r="B8" s="171" t="n">
        <x:v>46045</x:v>
      </x:c>
      <x:c r="C8" s="141" t="str">
        <x:v>Q1</x:v>
      </x:c>
      <x:c r="D8" s="141" t="str">
        <x:v>Grievance</x:v>
      </x:c>
      <x:c r="E8" s="141" t="str">
        <x:v>Low</x:v>
      </x:c>
      <x:c r="F8" s="171" t="n">
        <x:v>46076</x:v>
      </x:c>
      <x:c r="G8" s="141" t="n">
        <x:v>31</x:v>
      </x:c>
      <x:c r="H8" s="141" t="n">
        <x:v>14</x:v>
      </x:c>
      <x:c r="I8" s="141" t="str">
        <x:v>No</x:v>
      </x:c>
      <x:c r="J8" s="141" t="str">
        <x:v>Resolved</x:v>
      </x:c>
      <x:c r="K8" s="141" t="str">
        <x:v>Yes</x:v>
      </x:c>
    </x:row>
    <x:row r="9">
      <x:c r="A9" s="141" t="str">
        <x:v>ER-004</x:v>
      </x:c>
      <x:c r="B9" s="171" t="n">
        <x:v>46051</x:v>
      </x:c>
      <x:c r="C9" s="141" t="str">
        <x:v>Q1</x:v>
      </x:c>
      <x:c r="D9" s="141" t="str">
        <x:v>Safety concern</x:v>
      </x:c>
      <x:c r="E9" s="141" t="str">
        <x:v>Medium</x:v>
      </x:c>
      <x:c r="F9" s="171" t="n">
        <x:v>46071</x:v>
      </x:c>
      <x:c r="G9" s="141" t="n">
        <x:v>20</x:v>
      </x:c>
      <x:c r="H9" s="141" t="n">
        <x:v>14</x:v>
      </x:c>
      <x:c r="I9" s="141" t="str">
        <x:v>No</x:v>
      </x:c>
      <x:c r="J9" s="141" t="str">
        <x:v>Resolved</x:v>
      </x:c>
      <x:c r="K9" s="141" t="str">
        <x:v>Yes</x:v>
      </x:c>
    </x:row>
    <x:row r="10">
      <x:c r="A10" s="141" t="str">
        <x:v>ER-005</x:v>
      </x:c>
      <x:c r="B10" s="171" t="n">
        <x:v>46063</x:v>
      </x:c>
      <x:c r="C10" s="141" t="str">
        <x:v>Q1</x:v>
      </x:c>
      <x:c r="D10" s="141" t="str">
        <x:v>Welfare request</x:v>
      </x:c>
      <x:c r="E10" s="141" t="str">
        <x:v>Medium</x:v>
      </x:c>
      <x:c r="F10" s="171" t="n">
        <x:v>46085</x:v>
      </x:c>
      <x:c r="G10" s="141" t="n">
        <x:v>22</x:v>
      </x:c>
      <x:c r="H10" s="141" t="n">
        <x:v>14</x:v>
      </x:c>
      <x:c r="I10" s="141" t="str">
        <x:v>No</x:v>
      </x:c>
      <x:c r="J10" s="141" t="str">
        <x:v>Resolved</x:v>
      </x:c>
      <x:c r="K10" s="141" t="str">
        <x:v>Yes</x:v>
      </x:c>
    </x:row>
    <x:row r="11">
      <x:c r="A11" s="141" t="str">
        <x:v>ER-006</x:v>
      </x:c>
      <x:c r="B11" s="171" t="n">
        <x:v>46080</x:v>
      </x:c>
      <x:c r="C11" s="141" t="str">
        <x:v>Q1</x:v>
      </x:c>
      <x:c r="D11" s="141" t="str">
        <x:v>Safety concern</x:v>
      </x:c>
      <x:c r="E11" s="141" t="str">
        <x:v>Medium</x:v>
      </x:c>
      <x:c r="F11" s="171" t="n">
        <x:v>46104</x:v>
      </x:c>
      <x:c r="G11" s="141" t="n">
        <x:v>24</x:v>
      </x:c>
      <x:c r="H11" s="141" t="n">
        <x:v>14</x:v>
      </x:c>
      <x:c r="I11" s="141" t="str">
        <x:v>No</x:v>
      </x:c>
      <x:c r="J11" s="141" t="str">
        <x:v>Resolved</x:v>
      </x:c>
      <x:c r="K11" s="141" t="str">
        <x:v>Yes</x:v>
      </x:c>
    </x:row>
    <x:row r="12">
      <x:c r="A12" s="141" t="str">
        <x:v>ER-007</x:v>
      </x:c>
      <x:c r="B12" s="171" t="n">
        <x:v>46080</x:v>
      </x:c>
      <x:c r="C12" s="141" t="str">
        <x:v>Q1</x:v>
      </x:c>
      <x:c r="D12" s="141" t="str">
        <x:v>Supervisor conflict</x:v>
      </x:c>
      <x:c r="E12" s="141" t="str">
        <x:v>Medium</x:v>
      </x:c>
      <x:c r="F12" s="171" t="n">
        <x:v>46106</x:v>
      </x:c>
      <x:c r="G12" s="141" t="n">
        <x:v>26</x:v>
      </x:c>
      <x:c r="H12" s="141" t="n">
        <x:v>14</x:v>
      </x:c>
      <x:c r="I12" s="141" t="str">
        <x:v>No</x:v>
      </x:c>
      <x:c r="J12" s="141" t="str">
        <x:v>Resolved</x:v>
      </x:c>
      <x:c r="K12" s="141" t="str">
        <x:v>Yes</x:v>
      </x:c>
    </x:row>
    <x:row r="13">
      <x:c r="A13" s="141" t="str">
        <x:v>ER-008</x:v>
      </x:c>
      <x:c r="B13" s="171" t="n">
        <x:v>46086</x:v>
      </x:c>
      <x:c r="C13" s="141" t="str">
        <x:v>Q1</x:v>
      </x:c>
      <x:c r="D13" s="141" t="str">
        <x:v>Attendance misconduct</x:v>
      </x:c>
      <x:c r="E13" s="141" t="str">
        <x:v>High</x:v>
      </x:c>
      <x:c r="F13" s="171" t="n">
        <x:v>46100</x:v>
      </x:c>
      <x:c r="G13" s="141" t="n">
        <x:v>14</x:v>
      </x:c>
      <x:c r="H13" s="141" t="n">
        <x:v>14</x:v>
      </x:c>
      <x:c r="I13" s="141" t="str">
        <x:v>Yes</x:v>
      </x:c>
      <x:c r="J13" s="141" t="str">
        <x:v>Resolved</x:v>
      </x:c>
      <x:c r="K13" s="141" t="str">
        <x:v>Yes</x:v>
      </x:c>
    </x:row>
    <x:row r="14">
      <x:c r="A14" s="141" t="str">
        <x:v>ER-009</x:v>
      </x:c>
      <x:c r="B14" s="171" t="n">
        <x:v>46109</x:v>
      </x:c>
      <x:c r="C14" s="141" t="str">
        <x:v>Q1</x:v>
      </x:c>
      <x:c r="D14" s="141" t="str">
        <x:v>Welfare request</x:v>
      </x:c>
      <x:c r="E14" s="141" t="str">
        <x:v>Low</x:v>
      </x:c>
      <x:c r="F14" s="171" t="n">
        <x:v>46121</x:v>
      </x:c>
      <x:c r="G14" s="141" t="n">
        <x:v>12</x:v>
      </x:c>
      <x:c r="H14" s="141" t="n">
        <x:v>14</x:v>
      </x:c>
      <x:c r="I14" s="141" t="str">
        <x:v>Yes</x:v>
      </x:c>
      <x:c r="J14" s="141" t="str">
        <x:v>Monitoring</x:v>
      </x:c>
      <x:c r="K14" s="141" t="str">
        <x:v>Yes</x:v>
      </x:c>
    </x:row>
    <x:row r="15">
      <x:c r="A15" s="141" t="str">
        <x:v>ER-010</x:v>
      </x:c>
      <x:c r="B15" s="171" t="n">
        <x:v>46108</x:v>
      </x:c>
      <x:c r="C15" s="141" t="str">
        <x:v>Q1</x:v>
      </x:c>
      <x:c r="D15" s="141" t="str">
        <x:v>Grievance</x:v>
      </x:c>
      <x:c r="E15" s="141" t="str">
        <x:v>Medium</x:v>
      </x:c>
      <x:c r="F15" s="171" t="n">
        <x:v>46127</x:v>
      </x:c>
      <x:c r="G15" s="141" t="n">
        <x:v>19</x:v>
      </x:c>
      <x:c r="H15" s="141" t="n">
        <x:v>14</x:v>
      </x:c>
      <x:c r="I15" s="141" t="str">
        <x:v>No</x:v>
      </x:c>
      <x:c r="J15" s="141" t="str">
        <x:v>Resolved</x:v>
      </x:c>
      <x:c r="K15" s="141" t="str">
        <x:v>Yes</x:v>
      </x:c>
    </x:row>
    <x:row r="16">
      <x:c r="A16" s="141" t="str">
        <x:v>ER-011</x:v>
      </x:c>
      <x:c r="B16" s="171" t="n">
        <x:v>46105</x:v>
      </x:c>
      <x:c r="C16" s="141" t="str">
        <x:v>Q1</x:v>
      </x:c>
      <x:c r="D16" s="141" t="str">
        <x:v>Attendance misconduct</x:v>
      </x:c>
      <x:c r="E16" s="141" t="str">
        <x:v>Medium</x:v>
      </x:c>
      <x:c r="F16" s="171" t="n">
        <x:v>46131</x:v>
      </x:c>
      <x:c r="G16" s="141" t="n">
        <x:v>26</x:v>
      </x:c>
      <x:c r="H16" s="141" t="n">
        <x:v>14</x:v>
      </x:c>
      <x:c r="I16" s="141" t="str">
        <x:v>No</x:v>
      </x:c>
      <x:c r="J16" s="141" t="str">
        <x:v>Resolved</x:v>
      </x:c>
      <x:c r="K16" s="141" t="str">
        <x:v>Yes</x:v>
      </x:c>
    </x:row>
    <x:row r="17">
      <x:c r="A17" s="141" t="str">
        <x:v>ER-012</x:v>
      </x:c>
      <x:c r="B17" s="171" t="n">
        <x:v>46082</x:v>
      </x:c>
      <x:c r="C17" s="141" t="str">
        <x:v>Q1</x:v>
      </x:c>
      <x:c r="D17" s="141" t="str">
        <x:v>Safety concern</x:v>
      </x:c>
      <x:c r="E17" s="141" t="str">
        <x:v>Low</x:v>
      </x:c>
      <x:c r="F17" s="171" t="n">
        <x:v>46092</x:v>
      </x:c>
      <x:c r="G17" s="141" t="n">
        <x:v>10</x:v>
      </x:c>
      <x:c r="H17" s="141" t="n">
        <x:v>14</x:v>
      </x:c>
      <x:c r="I17" s="141" t="str">
        <x:v>Yes</x:v>
      </x:c>
      <x:c r="J17" s="141" t="str">
        <x:v>Resolved</x:v>
      </x:c>
      <x:c r="K17" s="141" t="str">
        <x:v>Yes</x:v>
      </x:c>
    </x:row>
    <x:row r="18">
      <x:c r="A18" s="141" t="str">
        <x:v>ER-013</x:v>
      </x:c>
      <x:c r="B18" s="171" t="n">
        <x:v>46099</x:v>
      </x:c>
      <x:c r="C18" s="141" t="str">
        <x:v>Q1</x:v>
      </x:c>
      <x:c r="D18" s="141" t="str">
        <x:v>Supervisor conflict</x:v>
      </x:c>
      <x:c r="E18" s="141" t="str">
        <x:v>Medium</x:v>
      </x:c>
      <x:c r="F18" s="171" t="n">
        <x:v>46120</x:v>
      </x:c>
      <x:c r="G18" s="141" t="n">
        <x:v>21</x:v>
      </x:c>
      <x:c r="H18" s="141" t="n">
        <x:v>14</x:v>
      </x:c>
      <x:c r="I18" s="141" t="str">
        <x:v>No</x:v>
      </x:c>
      <x:c r="J18" s="141" t="str">
        <x:v>Resolved</x:v>
      </x:c>
      <x:c r="K18" s="141" t="str">
        <x:v>Yes</x:v>
      </x:c>
    </x:row>
    <x:row r="19">
      <x:c r="A19" s="141" t="str">
        <x:v>ER-014</x:v>
      </x:c>
      <x:c r="B19" s="171" t="n">
        <x:v>46102</x:v>
      </x:c>
      <x:c r="C19" s="141" t="str">
        <x:v>Q1</x:v>
      </x:c>
      <x:c r="D19" s="141" t="str">
        <x:v>Welfare request</x:v>
      </x:c>
      <x:c r="E19" s="141" t="str">
        <x:v>High</x:v>
      </x:c>
      <x:c r="F19" s="171" t="n">
        <x:v>46118</x:v>
      </x:c>
      <x:c r="G19" s="141" t="n">
        <x:v>16</x:v>
      </x:c>
      <x:c r="H19" s="141" t="n">
        <x:v>14</x:v>
      </x:c>
      <x:c r="I19" s="141" t="str">
        <x:v>No</x:v>
      </x:c>
      <x:c r="J19" s="141" t="str">
        <x:v>Resolved</x:v>
      </x:c>
      <x:c r="K19" s="141" t="str">
        <x:v>Yes</x:v>
      </x:c>
    </x:row>
    <x:row r="20">
      <x:c r="A20" s="141" t="str">
        <x:v>ER-015</x:v>
      </x:c>
      <x:c r="B20" s="171" t="n">
        <x:v>46126</x:v>
      </x:c>
      <x:c r="C20" s="141" t="str">
        <x:v>Q2</x:v>
      </x:c>
      <x:c r="D20" s="141" t="str">
        <x:v>Attendance misconduct</x:v>
      </x:c>
      <x:c r="E20" s="141" t="str">
        <x:v>Low</x:v>
      </x:c>
      <x:c r="F20" s="171" t="n">
        <x:v>46146</x:v>
      </x:c>
      <x:c r="G20" s="141" t="n">
        <x:v>20</x:v>
      </x:c>
      <x:c r="H20" s="141" t="n">
        <x:v>14</x:v>
      </x:c>
      <x:c r="I20" s="141" t="str">
        <x:v>No</x:v>
      </x:c>
      <x:c r="J20" s="141" t="str">
        <x:v>Resolved</x:v>
      </x:c>
      <x:c r="K20" s="141" t="str">
        <x:v>Yes</x:v>
      </x:c>
    </x:row>
    <x:row r="21">
      <x:c r="A21" s="141" t="str">
        <x:v>ER-016</x:v>
      </x:c>
      <x:c r="B21" s="171" t="n">
        <x:v>46142</x:v>
      </x:c>
      <x:c r="C21" s="141" t="str">
        <x:v>Q2</x:v>
      </x:c>
      <x:c r="D21" s="141" t="str">
        <x:v>Welfare request</x:v>
      </x:c>
      <x:c r="E21" s="141" t="str">
        <x:v>Medium</x:v>
      </x:c>
      <x:c r="F21" s="171" t="n">
        <x:v>46168</x:v>
      </x:c>
      <x:c r="G21" s="141" t="n">
        <x:v>26</x:v>
      </x:c>
      <x:c r="H21" s="141" t="n">
        <x:v>14</x:v>
      </x:c>
      <x:c r="I21" s="141" t="str">
        <x:v>No</x:v>
      </x:c>
      <x:c r="J21" s="141" t="str">
        <x:v>Resolved</x:v>
      </x:c>
      <x:c r="K21" s="141" t="str">
        <x:v>Yes</x:v>
      </x:c>
    </x:row>
    <x:row r="22">
      <x:c r="A22" s="141" t="str">
        <x:v>ER-017</x:v>
      </x:c>
      <x:c r="B22" s="171" t="n">
        <x:v>46126</x:v>
      </x:c>
      <x:c r="C22" s="141" t="str">
        <x:v>Q2</x:v>
      </x:c>
      <x:c r="D22" s="141" t="str">
        <x:v>Safety concern</x:v>
      </x:c>
      <x:c r="E22" s="141" t="str">
        <x:v>Medium</x:v>
      </x:c>
      <x:c r="F22" s="171" t="n">
        <x:v>46141</x:v>
      </x:c>
      <x:c r="G22" s="141" t="n">
        <x:v>15</x:v>
      </x:c>
      <x:c r="H22" s="141" t="n">
        <x:v>14</x:v>
      </x:c>
      <x:c r="I22" s="141" t="str">
        <x:v>No</x:v>
      </x:c>
      <x:c r="J22" s="141" t="str">
        <x:v>Resolved</x:v>
      </x:c>
      <x:c r="K22" s="141" t="str">
        <x:v>Yes</x:v>
      </x:c>
    </x:row>
    <x:row r="23">
      <x:c r="A23" s="141" t="str">
        <x:v>ER-018</x:v>
      </x:c>
      <x:c r="B23" s="171" t="n">
        <x:v>46132</x:v>
      </x:c>
      <x:c r="C23" s="141" t="str">
        <x:v>Q2</x:v>
      </x:c>
      <x:c r="D23" s="141" t="str">
        <x:v>Harassment allegation</x:v>
      </x:c>
      <x:c r="E23" s="141" t="str">
        <x:v>Low</x:v>
      </x:c>
      <x:c r="F23" s="171" t="n">
        <x:v>46143</x:v>
      </x:c>
      <x:c r="G23" s="141" t="n">
        <x:v>11</x:v>
      </x:c>
      <x:c r="H23" s="141" t="n">
        <x:v>14</x:v>
      </x:c>
      <x:c r="I23" s="141" t="str">
        <x:v>Yes</x:v>
      </x:c>
      <x:c r="J23" s="141" t="str">
        <x:v>Resolved</x:v>
      </x:c>
      <x:c r="K23" s="141" t="str">
        <x:v>Yes</x:v>
      </x:c>
    </x:row>
    <x:row r="24">
      <x:c r="A24" s="141" t="str">
        <x:v>ER-019</x:v>
      </x:c>
      <x:c r="B24" s="171" t="n">
        <x:v>46125</x:v>
      </x:c>
      <x:c r="C24" s="141" t="str">
        <x:v>Q2</x:v>
      </x:c>
      <x:c r="D24" s="141" t="str">
        <x:v>Safety concern</x:v>
      </x:c>
      <x:c r="E24" s="141" t="str">
        <x:v>Medium</x:v>
      </x:c>
      <x:c r="F24" s="171" t="n">
        <x:v>46144</x:v>
      </x:c>
      <x:c r="G24" s="141" t="n">
        <x:v>19</x:v>
      </x:c>
      <x:c r="H24" s="141" t="n">
        <x:v>14</x:v>
      </x:c>
      <x:c r="I24" s="141" t="str">
        <x:v>No</x:v>
      </x:c>
      <x:c r="J24" s="141" t="str">
        <x:v>Resolved</x:v>
      </x:c>
      <x:c r="K24" s="141" t="str">
        <x:v>Yes</x:v>
      </x:c>
    </x:row>
    <x:row r="25">
      <x:c r="A25" s="141" t="str">
        <x:v>ER-020</x:v>
      </x:c>
      <x:c r="B25" s="171" t="n">
        <x:v>46141</x:v>
      </x:c>
      <x:c r="C25" s="141" t="str">
        <x:v>Q2</x:v>
      </x:c>
      <x:c r="D25" s="141" t="str">
        <x:v>Harassment allegation</x:v>
      </x:c>
      <x:c r="E25" s="141" t="str">
        <x:v>Low</x:v>
      </x:c>
      <x:c r="F25" s="171" t="n">
        <x:v>46155</x:v>
      </x:c>
      <x:c r="G25" s="141" t="n">
        <x:v>14</x:v>
      </x:c>
      <x:c r="H25" s="141" t="n">
        <x:v>14</x:v>
      </x:c>
      <x:c r="I25" s="141" t="str">
        <x:v>Yes</x:v>
      </x:c>
      <x:c r="J25" s="141" t="str">
        <x:v>Resolved</x:v>
      </x:c>
      <x:c r="K25" s="141" t="str">
        <x:v>Yes</x:v>
      </x:c>
    </x:row>
    <x:row r="26">
      <x:c r="A26" s="141" t="str">
        <x:v>ER-021</x:v>
      </x:c>
      <x:c r="B26" s="171" t="n">
        <x:v>46114</x:v>
      </x:c>
      <x:c r="C26" s="141" t="str">
        <x:v>Q2</x:v>
      </x:c>
      <x:c r="D26" s="141" t="str">
        <x:v>Supervisor conflict</x:v>
      </x:c>
      <x:c r="E26" s="141" t="str">
        <x:v>Low</x:v>
      </x:c>
      <x:c r="F26" s="171" t="n">
        <x:v>46138</x:v>
      </x:c>
      <x:c r="G26" s="141" t="n">
        <x:v>24</x:v>
      </x:c>
      <x:c r="H26" s="141" t="n">
        <x:v>14</x:v>
      </x:c>
      <x:c r="I26" s="141" t="str">
        <x:v>No</x:v>
      </x:c>
      <x:c r="J26" s="141" t="str">
        <x:v>Resolved</x:v>
      </x:c>
      <x:c r="K26" s="141" t="str">
        <x:v>Yes</x:v>
      </x:c>
    </x:row>
    <x:row r="27">
      <x:c r="A27" s="141" t="str">
        <x:v>ER-022</x:v>
      </x:c>
      <x:c r="B27" s="171" t="n">
        <x:v>46170</x:v>
      </x:c>
      <x:c r="C27" s="141" t="str">
        <x:v>Q2</x:v>
      </x:c>
      <x:c r="D27" s="141" t="str">
        <x:v>Attendance misconduct</x:v>
      </x:c>
      <x:c r="E27" s="141" t="str">
        <x:v>Medium</x:v>
      </x:c>
      <x:c r="F27" s="171" t="n">
        <x:v>46189</x:v>
      </x:c>
      <x:c r="G27" s="141" t="n">
        <x:v>19</x:v>
      </x:c>
      <x:c r="H27" s="141" t="n">
        <x:v>14</x:v>
      </x:c>
      <x:c r="I27" s="141" t="str">
        <x:v>No</x:v>
      </x:c>
      <x:c r="J27" s="141" t="str">
        <x:v>Resolved</x:v>
      </x:c>
      <x:c r="K27" s="141" t="str">
        <x:v>Yes</x:v>
      </x:c>
    </x:row>
    <x:row r="28">
      <x:c r="A28" s="141" t="str">
        <x:v>ER-023</x:v>
      </x:c>
      <x:c r="B28" s="171" t="n">
        <x:v>46173</x:v>
      </x:c>
      <x:c r="C28" s="141" t="str">
        <x:v>Q2</x:v>
      </x:c>
      <x:c r="D28" s="141" t="str">
        <x:v>Attendance misconduct</x:v>
      </x:c>
      <x:c r="E28" s="141" t="str">
        <x:v>High</x:v>
      </x:c>
      <x:c r="F28" s="171" t="n">
        <x:v>46189</x:v>
      </x:c>
      <x:c r="G28" s="141" t="n">
        <x:v>16</x:v>
      </x:c>
      <x:c r="H28" s="141" t="n">
        <x:v>14</x:v>
      </x:c>
      <x:c r="I28" s="141" t="str">
        <x:v>No</x:v>
      </x:c>
      <x:c r="J28" s="141" t="str">
        <x:v>Resolved</x:v>
      </x:c>
      <x:c r="K28" s="141" t="str">
        <x:v>Yes</x:v>
      </x:c>
    </x:row>
    <x:row r="29">
      <x:c r="A29" s="141" t="str">
        <x:v>ER-024</x:v>
      </x:c>
      <x:c r="B29" s="171" t="n">
        <x:v>46151</x:v>
      </x:c>
      <x:c r="C29" s="141" t="str">
        <x:v>Q2</x:v>
      </x:c>
      <x:c r="D29" s="141" t="str">
        <x:v>Grievance</x:v>
      </x:c>
      <x:c r="E29" s="141" t="str">
        <x:v>Low</x:v>
      </x:c>
      <x:c r="F29" s="171" t="n">
        <x:v>46166</x:v>
      </x:c>
      <x:c r="G29" s="141" t="n">
        <x:v>15</x:v>
      </x:c>
      <x:c r="H29" s="141" t="n">
        <x:v>14</x:v>
      </x:c>
      <x:c r="I29" s="141" t="str">
        <x:v>No</x:v>
      </x:c>
      <x:c r="J29" s="141" t="str">
        <x:v>Resolved</x:v>
      </x:c>
      <x:c r="K29" s="141" t="str">
        <x:v>Yes</x:v>
      </x:c>
    </x:row>
    <x:row r="30">
      <x:c r="A30" s="141" t="str">
        <x:v>ER-025</x:v>
      </x:c>
      <x:c r="B30" s="171" t="n">
        <x:v>46179</x:v>
      </x:c>
      <x:c r="C30" s="141" t="str">
        <x:v>Q2</x:v>
      </x:c>
      <x:c r="D30" s="141" t="str">
        <x:v>Attendance misconduct</x:v>
      </x:c>
      <x:c r="E30" s="141" t="str">
        <x:v>Low</x:v>
      </x:c>
      <x:c r="F30" s="171" t="n">
        <x:v>46199</x:v>
      </x:c>
      <x:c r="G30" s="141" t="n">
        <x:v>20</x:v>
      </x:c>
      <x:c r="H30" s="141" t="n">
        <x:v>14</x:v>
      </x:c>
      <x:c r="I30" s="141" t="str">
        <x:v>No</x:v>
      </x:c>
      <x:c r="J30" s="141" t="str">
        <x:v>Resolved</x:v>
      </x:c>
      <x:c r="K30" s="141" t="str">
        <x:v>Yes</x:v>
      </x:c>
    </x:row>
    <x:row r="31">
      <x:c r="A31" s="141" t="str">
        <x:v>ER-026</x:v>
      </x:c>
      <x:c r="B31" s="171" t="n">
        <x:v>46192</x:v>
      </x:c>
      <x:c r="C31" s="141" t="str">
        <x:v>Q2</x:v>
      </x:c>
      <x:c r="D31" s="141" t="str">
        <x:v>Harassment allegation</x:v>
      </x:c>
      <x:c r="E31" s="141" t="str">
        <x:v>Medium</x:v>
      </x:c>
      <x:c r="F31" s="171" t="n">
        <x:v>46204</x:v>
      </x:c>
      <x:c r="G31" s="141" t="n">
        <x:v>12</x:v>
      </x:c>
      <x:c r="H31" s="141" t="n">
        <x:v>14</x:v>
      </x:c>
      <x:c r="I31" s="141" t="str">
        <x:v>Yes</x:v>
      </x:c>
      <x:c r="J31" s="141" t="str">
        <x:v>Resolved</x:v>
      </x:c>
      <x:c r="K31" s="141" t="str">
        <x:v>Yes</x:v>
      </x:c>
    </x:row>
    <x:row r="32">
      <x:c r="A32" s="141" t="str">
        <x:v>ER-027</x:v>
      </x:c>
      <x:c r="B32" s="171" t="n">
        <x:v>46199</x:v>
      </x:c>
      <x:c r="C32" s="141" t="str">
        <x:v>Q2</x:v>
      </x:c>
      <x:c r="D32" s="141" t="str">
        <x:v>Grievance</x:v>
      </x:c>
      <x:c r="E32" s="141" t="str">
        <x:v>Low</x:v>
      </x:c>
      <x:c r="F32" s="171" t="n">
        <x:v>46223</x:v>
      </x:c>
      <x:c r="G32" s="141" t="n">
        <x:v>24</x:v>
      </x:c>
      <x:c r="H32" s="141" t="n">
        <x:v>14</x:v>
      </x:c>
      <x:c r="I32" s="141" t="str">
        <x:v>No</x:v>
      </x:c>
      <x:c r="J32" s="141" t="str">
        <x:v>Resolved</x:v>
      </x:c>
      <x:c r="K32" s="141" t="str">
        <x:v>Yes</x:v>
      </x:c>
    </x:row>
    <x:row r="33">
      <x:c r="A33" s="141" t="str">
        <x:v>ER-028</x:v>
      </x:c>
      <x:c r="B33" s="171" t="n">
        <x:v>46189</x:v>
      </x:c>
      <x:c r="C33" s="141" t="str">
        <x:v>Q2</x:v>
      </x:c>
      <x:c r="D33" s="141" t="str">
        <x:v>Attendance misconduct</x:v>
      </x:c>
      <x:c r="E33" s="141" t="str">
        <x:v>High</x:v>
      </x:c>
      <x:c r="F33" s="171" t="n">
        <x:v>46200</x:v>
      </x:c>
      <x:c r="G33" s="141" t="n">
        <x:v>11</x:v>
      </x:c>
      <x:c r="H33" s="141" t="n">
        <x:v>14</x:v>
      </x:c>
      <x:c r="I33" s="141" t="str">
        <x:v>Yes</x:v>
      </x:c>
      <x:c r="J33" s="141" t="str">
        <x:v>Resolved</x:v>
      </x:c>
      <x:c r="K33" s="141" t="str">
        <x:v>Yes</x:v>
      </x:c>
    </x:row>
    <x:row r="34">
      <x:c r="A34" s="141" t="str">
        <x:v>ER-029</x:v>
      </x:c>
      <x:c r="B34" s="171" t="n">
        <x:v>46174</x:v>
      </x:c>
      <x:c r="C34" s="141" t="str">
        <x:v>Q2</x:v>
      </x:c>
      <x:c r="D34" s="141" t="str">
        <x:v>Welfare request</x:v>
      </x:c>
      <x:c r="E34" s="141" t="str">
        <x:v>Low</x:v>
      </x:c>
      <x:c r="F34" s="171" t="n">
        <x:v>46187</x:v>
      </x:c>
      <x:c r="G34" s="141" t="n">
        <x:v>13</x:v>
      </x:c>
      <x:c r="H34" s="141" t="n">
        <x:v>14</x:v>
      </x:c>
      <x:c r="I34" s="141" t="str">
        <x:v>Yes</x:v>
      </x:c>
      <x:c r="J34" s="141" t="str">
        <x:v>Resolved</x:v>
      </x:c>
      <x:c r="K34" s="141" t="str">
        <x:v>Yes</x:v>
      </x:c>
    </x:row>
    <x:row r="35">
      <x:c r="A35" s="141" t="str">
        <x:v>ER-030</x:v>
      </x:c>
      <x:c r="B35" s="171" t="n">
        <x:v>46181</x:v>
      </x:c>
      <x:c r="C35" s="141" t="str">
        <x:v>Q2</x:v>
      </x:c>
      <x:c r="D35" s="141" t="str">
        <x:v>Welfare request</x:v>
      </x:c>
      <x:c r="E35" s="141" t="str">
        <x:v>Low</x:v>
      </x:c>
      <x:c r="F35" s="171" t="n">
        <x:v>46189</x:v>
      </x:c>
      <x:c r="G35" s="141" t="n">
        <x:v>8</x:v>
      </x:c>
      <x:c r="H35" s="141" t="n">
        <x:v>14</x:v>
      </x:c>
      <x:c r="I35" s="141" t="str">
        <x:v>Yes</x:v>
      </x:c>
      <x:c r="J35" s="141" t="str">
        <x:v>Resolved</x:v>
      </x:c>
      <x:c r="K35" s="141" t="str">
        <x:v>Yes</x:v>
      </x:c>
    </x:row>
    <x:row r="36">
      <x:c r="A36" s="141" t="str">
        <x:v>ER-031</x:v>
      </x:c>
      <x:c r="B36" s="171" t="n">
        <x:v>46180</x:v>
      </x:c>
      <x:c r="C36" s="141" t="str">
        <x:v>Q2</x:v>
      </x:c>
      <x:c r="D36" s="141" t="str">
        <x:v>Grievance</x:v>
      </x:c>
      <x:c r="E36" s="141" t="str">
        <x:v>Medium</x:v>
      </x:c>
      <x:c r="F36" s="171" t="n">
        <x:v>46196</x:v>
      </x:c>
      <x:c r="G36" s="141" t="n">
        <x:v>16</x:v>
      </x:c>
      <x:c r="H36" s="141" t="n">
        <x:v>14</x:v>
      </x:c>
      <x:c r="I36" s="141" t="str">
        <x:v>No</x:v>
      </x:c>
      <x:c r="J36" s="141" t="str">
        <x:v>Monitoring</x:v>
      </x:c>
      <x:c r="K36" s="141" t="str">
        <x:v>Yes</x:v>
      </x:c>
    </x:row>
    <x:row r="37">
      <x:c r="A37" s="141" t="str">
        <x:v>ER-032</x:v>
      </x:c>
      <x:c r="B37" s="171" t="n">
        <x:v>46230</x:v>
      </x:c>
      <x:c r="C37" s="141" t="str">
        <x:v>Q3</x:v>
      </x:c>
      <x:c r="D37" s="141" t="str">
        <x:v>Welfare request</x:v>
      </x:c>
      <x:c r="E37" s="141" t="str">
        <x:v>Medium</x:v>
      </x:c>
      <x:c r="F37" s="171" t="n">
        <x:v>46245</x:v>
      </x:c>
      <x:c r="G37" s="141" t="n">
        <x:v>15</x:v>
      </x:c>
      <x:c r="H37" s="141" t="n">
        <x:v>14</x:v>
      </x:c>
      <x:c r="I37" s="141" t="str">
        <x:v>No</x:v>
      </x:c>
      <x:c r="J37" s="141" t="str">
        <x:v>Resolved</x:v>
      </x:c>
      <x:c r="K37" s="141" t="str">
        <x:v>Yes</x:v>
      </x:c>
    </x:row>
    <x:row r="38">
      <x:c r="A38" s="141" t="str">
        <x:v>ER-033</x:v>
      </x:c>
      <x:c r="B38" s="171" t="n">
        <x:v>46220</x:v>
      </x:c>
      <x:c r="C38" s="141" t="str">
        <x:v>Q3</x:v>
      </x:c>
      <x:c r="D38" s="141" t="str">
        <x:v>Harassment allegation</x:v>
      </x:c>
      <x:c r="E38" s="141" t="str">
        <x:v>Low</x:v>
      </x:c>
      <x:c r="F38" s="171" t="n">
        <x:v>46226</x:v>
      </x:c>
      <x:c r="G38" s="141" t="n">
        <x:v>6</x:v>
      </x:c>
      <x:c r="H38" s="141" t="n">
        <x:v>14</x:v>
      </x:c>
      <x:c r="I38" s="141" t="str">
        <x:v>Yes</x:v>
      </x:c>
      <x:c r="J38" s="141" t="str">
        <x:v>Resolved</x:v>
      </x:c>
      <x:c r="K38" s="141" t="str">
        <x:v>Yes</x:v>
      </x:c>
    </x:row>
    <x:row r="39">
      <x:c r="A39" s="141" t="str">
        <x:v>ER-034</x:v>
      </x:c>
      <x:c r="B39" s="171" t="n">
        <x:v>46228</x:v>
      </x:c>
      <x:c r="C39" s="141" t="str">
        <x:v>Q3</x:v>
      </x:c>
      <x:c r="D39" s="141" t="str">
        <x:v>Supervisor conflict</x:v>
      </x:c>
      <x:c r="E39" s="141" t="str">
        <x:v>Medium</x:v>
      </x:c>
      <x:c r="F39" s="171" t="n">
        <x:v>46247</x:v>
      </x:c>
      <x:c r="G39" s="141" t="n">
        <x:v>19</x:v>
      </x:c>
      <x:c r="H39" s="141" t="n">
        <x:v>14</x:v>
      </x:c>
      <x:c r="I39" s="141" t="str">
        <x:v>No</x:v>
      </x:c>
      <x:c r="J39" s="141" t="str">
        <x:v>Resolved</x:v>
      </x:c>
      <x:c r="K39" s="141" t="str">
        <x:v>Yes</x:v>
      </x:c>
    </x:row>
    <x:row r="40">
      <x:c r="A40" s="141" t="str">
        <x:v>ER-035</x:v>
      </x:c>
      <x:c r="B40" s="171" t="n">
        <x:v>46229</x:v>
      </x:c>
      <x:c r="C40" s="141" t="str">
        <x:v>Q3</x:v>
      </x:c>
      <x:c r="D40" s="141" t="str">
        <x:v>Attendance misconduct</x:v>
      </x:c>
      <x:c r="E40" s="141" t="str">
        <x:v>Low</x:v>
      </x:c>
      <x:c r="F40" s="171" t="n">
        <x:v>46239</x:v>
      </x:c>
      <x:c r="G40" s="141" t="n">
        <x:v>10</x:v>
      </x:c>
      <x:c r="H40" s="141" t="n">
        <x:v>14</x:v>
      </x:c>
      <x:c r="I40" s="141" t="str">
        <x:v>Yes</x:v>
      </x:c>
      <x:c r="J40" s="141" t="str">
        <x:v>Monitoring</x:v>
      </x:c>
      <x:c r="K40" s="141" t="str">
        <x:v>Yes</x:v>
      </x:c>
    </x:row>
    <x:row r="41">
      <x:c r="A41" s="141" t="str">
        <x:v>ER-036</x:v>
      </x:c>
      <x:c r="B41" s="171" t="n">
        <x:v>46258</x:v>
      </x:c>
      <x:c r="C41" s="141" t="str">
        <x:v>Q3</x:v>
      </x:c>
      <x:c r="D41" s="141" t="str">
        <x:v>Safety concern</x:v>
      </x:c>
      <x:c r="E41" s="141" t="str">
        <x:v>High</x:v>
      </x:c>
      <x:c r="F41" s="171" t="n">
        <x:v>46266</x:v>
      </x:c>
      <x:c r="G41" s="141" t="n">
        <x:v>8</x:v>
      </x:c>
      <x:c r="H41" s="141" t="n">
        <x:v>14</x:v>
      </x:c>
      <x:c r="I41" s="141" t="str">
        <x:v>Yes</x:v>
      </x:c>
      <x:c r="J41" s="141" t="str">
        <x:v>Resolved</x:v>
      </x:c>
      <x:c r="K41" s="141" t="str">
        <x:v>Yes</x:v>
      </x:c>
    </x:row>
    <x:row r="42">
      <x:c r="A42" s="141" t="str">
        <x:v>ER-037</x:v>
      </x:c>
      <x:c r="B42" s="171" t="n">
        <x:v>46242</x:v>
      </x:c>
      <x:c r="C42" s="141" t="str">
        <x:v>Q3</x:v>
      </x:c>
      <x:c r="D42" s="141" t="str">
        <x:v>Attendance misconduct</x:v>
      </x:c>
      <x:c r="E42" s="141" t="str">
        <x:v>Medium</x:v>
      </x:c>
      <x:c r="F42" s="171" t="n">
        <x:v>46256</x:v>
      </x:c>
      <x:c r="G42" s="141" t="n">
        <x:v>14</x:v>
      </x:c>
      <x:c r="H42" s="141" t="n">
        <x:v>14</x:v>
      </x:c>
      <x:c r="I42" s="141" t="str">
        <x:v>Yes</x:v>
      </x:c>
      <x:c r="J42" s="141" t="str">
        <x:v>Resolved</x:v>
      </x:c>
      <x:c r="K42" s="141" t="str">
        <x:v>Yes</x:v>
      </x:c>
    </x:row>
    <x:row r="43">
      <x:c r="A43" s="141" t="str">
        <x:v>ER-038</x:v>
      </x:c>
      <x:c r="B43" s="171" t="n">
        <x:v>46245</x:v>
      </x:c>
      <x:c r="C43" s="141" t="str">
        <x:v>Q3</x:v>
      </x:c>
      <x:c r="D43" s="141" t="str">
        <x:v>Attendance misconduct</x:v>
      </x:c>
      <x:c r="E43" s="141" t="str">
        <x:v>Medium</x:v>
      </x:c>
      <x:c r="F43" s="171" t="n">
        <x:v>46262</x:v>
      </x:c>
      <x:c r="G43" s="141" t="n">
        <x:v>17</x:v>
      </x:c>
      <x:c r="H43" s="141" t="n">
        <x:v>14</x:v>
      </x:c>
      <x:c r="I43" s="141" t="str">
        <x:v>No</x:v>
      </x:c>
      <x:c r="J43" s="141" t="str">
        <x:v>Resolved</x:v>
      </x:c>
      <x:c r="K43" s="141" t="str">
        <x:v>Yes</x:v>
      </x:c>
    </x:row>
    <x:row r="44">
      <x:c r="A44" s="141" t="str">
        <x:v>ER-039</x:v>
      </x:c>
      <x:c r="B44" s="171" t="n">
        <x:v>46267</x:v>
      </x:c>
      <x:c r="C44" s="141" t="str">
        <x:v>Q3</x:v>
      </x:c>
      <x:c r="D44" s="141" t="str">
        <x:v>Welfare request</x:v>
      </x:c>
      <x:c r="E44" s="141" t="str">
        <x:v>Medium</x:v>
      </x:c>
      <x:c r="F44" s="171" t="n">
        <x:v>46276</x:v>
      </x:c>
      <x:c r="G44" s="141" t="n">
        <x:v>9</x:v>
      </x:c>
      <x:c r="H44" s="141" t="n">
        <x:v>14</x:v>
      </x:c>
      <x:c r="I44" s="141" t="str">
        <x:v>Yes</x:v>
      </x:c>
      <x:c r="J44" s="141" t="str">
        <x:v>Resolved</x:v>
      </x:c>
      <x:c r="K44" s="141" t="str">
        <x:v>Yes</x:v>
      </x:c>
    </x:row>
    <x:row r="45">
      <x:c r="A45" s="141" t="str">
        <x:v>ER-040</x:v>
      </x:c>
      <x:c r="B45" s="171" t="n">
        <x:v>46273</x:v>
      </x:c>
      <x:c r="C45" s="141" t="str">
        <x:v>Q3</x:v>
      </x:c>
      <x:c r="D45" s="141" t="str">
        <x:v>Grievance</x:v>
      </x:c>
      <x:c r="E45" s="141" t="str">
        <x:v>Low</x:v>
      </x:c>
      <x:c r="F45" s="171" t="n">
        <x:v>46286</x:v>
      </x:c>
      <x:c r="G45" s="141" t="n">
        <x:v>13</x:v>
      </x:c>
      <x:c r="H45" s="141" t="n">
        <x:v>14</x:v>
      </x:c>
      <x:c r="I45" s="141" t="str">
        <x:v>Yes</x:v>
      </x:c>
      <x:c r="J45" s="141" t="str">
        <x:v>Resolved</x:v>
      </x:c>
      <x:c r="K45" s="141" t="str">
        <x:v>Yes</x:v>
      </x:c>
    </x:row>
    <x:row r="46">
      <x:c r="A46" s="141" t="str">
        <x:v>ER-041</x:v>
      </x:c>
      <x:c r="B46" s="171" t="n">
        <x:v>46270</x:v>
      </x:c>
      <x:c r="C46" s="141" t="str">
        <x:v>Q3</x:v>
      </x:c>
      <x:c r="D46" s="141" t="str">
        <x:v>Supervisor conflict</x:v>
      </x:c>
      <x:c r="E46" s="141" t="str">
        <x:v>Medium</x:v>
      </x:c>
      <x:c r="F46" s="171" t="n">
        <x:v>46288</x:v>
      </x:c>
      <x:c r="G46" s="141" t="n">
        <x:v>18</x:v>
      </x:c>
      <x:c r="H46" s="141" t="n">
        <x:v>14</x:v>
      </x:c>
      <x:c r="I46" s="141" t="str">
        <x:v>No</x:v>
      </x:c>
      <x:c r="J46" s="141" t="str">
        <x:v>Resolved</x:v>
      </x:c>
      <x:c r="K46" s="141" t="str">
        <x:v>Yes</x:v>
      </x:c>
    </x:row>
    <x:row r="47">
      <x:c r="A47" s="141" t="str">
        <x:v>ER-042</x:v>
      </x:c>
      <x:c r="B47" s="171" t="n">
        <x:v>46313</x:v>
      </x:c>
      <x:c r="C47" s="141" t="str">
        <x:v>Q4</x:v>
      </x:c>
      <x:c r="D47" s="141" t="str">
        <x:v>Attendance misconduct</x:v>
      </x:c>
      <x:c r="E47" s="141" t="str">
        <x:v>Medium</x:v>
      </x:c>
      <x:c r="F47" s="171" t="n">
        <x:v>46315</x:v>
      </x:c>
      <x:c r="G47" s="141" t="n">
        <x:v>2</x:v>
      </x:c>
      <x:c r="H47" s="141" t="n">
        <x:v>14</x:v>
      </x:c>
      <x:c r="I47" s="141" t="str">
        <x:v>Yes</x:v>
      </x:c>
      <x:c r="J47" s="141" t="str">
        <x:v>Resolved</x:v>
      </x:c>
      <x:c r="K47" s="141" t="str">
        <x:v>Yes</x:v>
      </x:c>
    </x:row>
    <x:row r="48">
      <x:c r="A48" s="141" t="str">
        <x:v>ER-043</x:v>
      </x:c>
      <x:c r="B48" s="171" t="n">
        <x:v>46310</x:v>
      </x:c>
      <x:c r="C48" s="141" t="str">
        <x:v>Q4</x:v>
      </x:c>
      <x:c r="D48" s="141" t="str">
        <x:v>Grievance</x:v>
      </x:c>
      <x:c r="E48" s="141" t="str">
        <x:v>Low</x:v>
      </x:c>
      <x:c r="F48" s="171" t="n">
        <x:v>46320</x:v>
      </x:c>
      <x:c r="G48" s="141" t="n">
        <x:v>10</x:v>
      </x:c>
      <x:c r="H48" s="141" t="n">
        <x:v>14</x:v>
      </x:c>
      <x:c r="I48" s="141" t="str">
        <x:v>Yes</x:v>
      </x:c>
      <x:c r="J48" s="141" t="str">
        <x:v>Resolved</x:v>
      </x:c>
      <x:c r="K48" s="141" t="str">
        <x:v>Yes</x:v>
      </x:c>
    </x:row>
    <x:row r="49">
      <x:c r="A49" s="141" t="str">
        <x:v>ER-044</x:v>
      </x:c>
      <x:c r="B49" s="171" t="n">
        <x:v>46305</x:v>
      </x:c>
      <x:c r="C49" s="141" t="str">
        <x:v>Q4</x:v>
      </x:c>
      <x:c r="D49" s="141" t="str">
        <x:v>Harassment allegation</x:v>
      </x:c>
      <x:c r="E49" s="141" t="str">
        <x:v>Low</x:v>
      </x:c>
      <x:c r="F49" s="171" t="n">
        <x:v>46312</x:v>
      </x:c>
      <x:c r="G49" s="141" t="n">
        <x:v>7</x:v>
      </x:c>
      <x:c r="H49" s="141" t="n">
        <x:v>14</x:v>
      </x:c>
      <x:c r="I49" s="141" t="str">
        <x:v>Yes</x:v>
      </x:c>
      <x:c r="J49" s="141" t="str">
        <x:v>Resolved</x:v>
      </x:c>
      <x:c r="K49" s="141" t="str">
        <x:v>Yes</x:v>
      </x:c>
    </x:row>
    <x:row r="50">
      <x:c r="A50" s="141" t="str">
        <x:v>ER-045</x:v>
      </x:c>
      <x:c r="B50" s="171" t="n">
        <x:v>46317</x:v>
      </x:c>
      <x:c r="C50" s="141" t="str">
        <x:v>Q4</x:v>
      </x:c>
      <x:c r="D50" s="141" t="str">
        <x:v>Safety concern</x:v>
      </x:c>
      <x:c r="E50" s="141" t="str">
        <x:v>Medium</x:v>
      </x:c>
      <x:c r="F50" s="171" t="n">
        <x:v>46331</x:v>
      </x:c>
      <x:c r="G50" s="141" t="n">
        <x:v>14</x:v>
      </x:c>
      <x:c r="H50" s="141" t="n">
        <x:v>14</x:v>
      </x:c>
      <x:c r="I50" s="141" t="str">
        <x:v>Yes</x:v>
      </x:c>
      <x:c r="J50" s="141" t="str">
        <x:v>Resolved</x:v>
      </x:c>
      <x:c r="K50" s="141" t="str">
        <x:v>Yes</x:v>
      </x:c>
    </x:row>
    <x:row r="51">
      <x:c r="A51" s="141" t="str">
        <x:v>ER-046</x:v>
      </x:c>
      <x:c r="B51" s="171" t="n">
        <x:v>46318</x:v>
      </x:c>
      <x:c r="C51" s="141" t="str">
        <x:v>Q4</x:v>
      </x:c>
      <x:c r="D51" s="141" t="str">
        <x:v>Safety concern</x:v>
      </x:c>
      <x:c r="E51" s="141" t="str">
        <x:v>Low</x:v>
      </x:c>
      <x:c r="F51" s="171" t="n">
        <x:v>46326</x:v>
      </x:c>
      <x:c r="G51" s="141" t="n">
        <x:v>8</x:v>
      </x:c>
      <x:c r="H51" s="141" t="n">
        <x:v>14</x:v>
      </x:c>
      <x:c r="I51" s="141" t="str">
        <x:v>Yes</x:v>
      </x:c>
      <x:c r="J51" s="141" t="str">
        <x:v>Resolved</x:v>
      </x:c>
      <x:c r="K51" s="141" t="str">
        <x:v>Yes</x:v>
      </x:c>
    </x:row>
    <x:row r="52">
      <x:c r="A52" s="141" t="str">
        <x:v>ER-047</x:v>
      </x:c>
      <x:c r="B52" s="171" t="n">
        <x:v>46326</x:v>
      </x:c>
      <x:c r="C52" s="141" t="str">
        <x:v>Q4</x:v>
      </x:c>
      <x:c r="D52" s="141" t="str">
        <x:v>Attendance misconduct</x:v>
      </x:c>
      <x:c r="E52" s="141" t="str">
        <x:v>Medium</x:v>
      </x:c>
      <x:c r="F52" s="171" t="n">
        <x:v>46344</x:v>
      </x:c>
      <x:c r="G52" s="141" t="n">
        <x:v>18</x:v>
      </x:c>
      <x:c r="H52" s="141" t="n">
        <x:v>14</x:v>
      </x:c>
      <x:c r="I52" s="141" t="str">
        <x:v>No</x:v>
      </x:c>
      <x:c r="J52" s="141" t="str">
        <x:v>Resolved</x:v>
      </x:c>
      <x:c r="K52" s="141" t="str">
        <x:v>Yes</x:v>
      </x:c>
    </x:row>
    <x:row r="53">
      <x:c r="A53" s="141" t="str">
        <x:v>ER-048</x:v>
      </x:c>
      <x:c r="B53" s="171" t="n">
        <x:v>46299</x:v>
      </x:c>
      <x:c r="C53" s="141" t="str">
        <x:v>Q4</x:v>
      </x:c>
      <x:c r="D53" s="141" t="str">
        <x:v>Harassment allegation</x:v>
      </x:c>
      <x:c r="E53" s="141" t="str">
        <x:v>Medium</x:v>
      </x:c>
      <x:c r="F53" s="171" t="n">
        <x:v>46311</x:v>
      </x:c>
      <x:c r="G53" s="141" t="n">
        <x:v>12</x:v>
      </x:c>
      <x:c r="H53" s="141" t="n">
        <x:v>14</x:v>
      </x:c>
      <x:c r="I53" s="141" t="str">
        <x:v>Yes</x:v>
      </x:c>
      <x:c r="J53" s="141" t="str">
        <x:v>Resolved</x:v>
      </x:c>
      <x:c r="K53" s="141" t="str">
        <x:v>Yes</x:v>
      </x:c>
    </x:row>
    <x:row r="54">
      <x:c r="A54" s="141" t="str">
        <x:v>ER-049</x:v>
      </x:c>
      <x:c r="B54" s="171" t="n">
        <x:v>46338</x:v>
      </x:c>
      <x:c r="C54" s="141" t="str">
        <x:v>Q4</x:v>
      </x:c>
      <x:c r="D54" s="141" t="str">
        <x:v>Harassment allegation</x:v>
      </x:c>
      <x:c r="E54" s="141" t="str">
        <x:v>Medium</x:v>
      </x:c>
      <x:c r="F54" s="171" t="n">
        <x:v>46346</x:v>
      </x:c>
      <x:c r="G54" s="141" t="n">
        <x:v>8</x:v>
      </x:c>
      <x:c r="H54" s="141" t="n">
        <x:v>14</x:v>
      </x:c>
      <x:c r="I54" s="141" t="str">
        <x:v>Yes</x:v>
      </x:c>
      <x:c r="J54" s="141" t="str">
        <x:v>Resolved</x:v>
      </x:c>
      <x:c r="K54" s="141" t="str">
        <x:v>Yes</x:v>
      </x:c>
    </x:row>
    <x:row r="55">
      <x:c r="A55" s="141" t="str">
        <x:v>ER-050</x:v>
      </x:c>
      <x:c r="B55" s="171" t="n">
        <x:v>46330</x:v>
      </x:c>
      <x:c r="C55" s="141" t="str">
        <x:v>Q4</x:v>
      </x:c>
      <x:c r="D55" s="141" t="str">
        <x:v>Harassment allegation</x:v>
      </x:c>
      <x:c r="E55" s="141" t="str">
        <x:v>Low</x:v>
      </x:c>
      <x:c r="F55" s="171" t="n">
        <x:v>46332</x:v>
      </x:c>
      <x:c r="G55" s="141" t="n">
        <x:v>2</x:v>
      </x:c>
      <x:c r="H55" s="141" t="n">
        <x:v>14</x:v>
      </x:c>
      <x:c r="I55" s="141" t="str">
        <x:v>Yes</x:v>
      </x:c>
      <x:c r="J55" s="141" t="str">
        <x:v>Resolved</x:v>
      </x:c>
      <x:c r="K55" s="141" t="str">
        <x:v>Yes</x:v>
      </x:c>
    </x:row>
    <x:row r="56">
      <x:c r="A56" s="141" t="str">
        <x:v>ER-051</x:v>
      </x:c>
      <x:c r="B56" s="171" t="n">
        <x:v>46342</x:v>
      </x:c>
      <x:c r="C56" s="141" t="str">
        <x:v>Q4</x:v>
      </x:c>
      <x:c r="D56" s="141" t="str">
        <x:v>Safety concern</x:v>
      </x:c>
      <x:c r="E56" s="141" t="str">
        <x:v>Medium</x:v>
      </x:c>
      <x:c r="F56" s="171" t="n">
        <x:v>46349</x:v>
      </x:c>
      <x:c r="G56" s="141" t="n">
        <x:v>7</x:v>
      </x:c>
      <x:c r="H56" s="141" t="n">
        <x:v>14</x:v>
      </x:c>
      <x:c r="I56" s="141" t="str">
        <x:v>Yes</x:v>
      </x:c>
      <x:c r="J56" s="141" t="str">
        <x:v>Resolved</x:v>
      </x:c>
      <x:c r="K56" s="141" t="str">
        <x:v>Yes</x:v>
      </x:c>
    </x:row>
    <x:row r="57">
      <x:c r="A57" s="141" t="str">
        <x:v>ER-052</x:v>
      </x:c>
      <x:c r="B57" s="171" t="n">
        <x:v>46384</x:v>
      </x:c>
      <x:c r="C57" s="141" t="str">
        <x:v>Q4</x:v>
      </x:c>
      <x:c r="D57" s="141" t="str">
        <x:v>Grievance</x:v>
      </x:c>
      <x:c r="E57" s="141" t="str">
        <x:v>Medium</x:v>
      </x:c>
      <x:c r="F57" s="171" t="n">
        <x:v>46387</x:v>
      </x:c>
      <x:c r="G57" s="141" t="n">
        <x:v>5</x:v>
      </x:c>
      <x:c r="H57" s="141" t="n">
        <x:v>14</x:v>
      </x:c>
      <x:c r="I57" s="141" t="str">
        <x:v>Yes</x:v>
      </x:c>
      <x:c r="J57" s="141" t="str">
        <x:v>Resolved</x:v>
      </x:c>
      <x:c r="K57" s="141" t="str">
        <x:v>Yes</x:v>
      </x:c>
    </x:row>
    <x:row r="58">
      <x:c r="A58" s="141" t="str">
        <x:v>ER-053</x:v>
      </x:c>
      <x:c r="B58" s="171" t="n">
        <x:v>46380</x:v>
      </x:c>
      <x:c r="C58" s="141" t="str">
        <x:v>Q4</x:v>
      </x:c>
      <x:c r="D58" s="141" t="str">
        <x:v>Grievance</x:v>
      </x:c>
      <x:c r="E58" s="141" t="str">
        <x:v>Low</x:v>
      </x:c>
      <x:c r="F58" s="171" t="n">
        <x:v>46386</x:v>
      </x:c>
      <x:c r="G58" s="141" t="n">
        <x:v>6</x:v>
      </x:c>
      <x:c r="H58" s="141" t="n">
        <x:v>14</x:v>
      </x:c>
      <x:c r="I58" s="141" t="str">
        <x:v>Yes</x:v>
      </x:c>
      <x:c r="J58" s="141" t="str">
        <x:v>Resolved</x:v>
      </x:c>
      <x:c r="K58" s="141" t="str">
        <x:v>Yes</x:v>
      </x:c>
    </x:row>
    <x:row r="59">
      <x:c r="A59" s="141" t="str">
        <x:v>ER-054</x:v>
      </x:c>
      <x:c r="B59" s="171" t="n">
        <x:v>46363</x:v>
      </x:c>
      <x:c r="C59" s="141" t="str">
        <x:v>Q4</x:v>
      </x:c>
      <x:c r="D59" s="141" t="str">
        <x:v>Attendance misconduct</x:v>
      </x:c>
      <x:c r="E59" s="141" t="str">
        <x:v>High</x:v>
      </x:c>
      <x:c r="F59" s="171" t="n">
        <x:v>46367</x:v>
      </x:c>
      <x:c r="G59" s="141" t="n">
        <x:v>4</x:v>
      </x:c>
      <x:c r="H59" s="141" t="n">
        <x:v>14</x:v>
      </x:c>
      <x:c r="I59" s="141" t="str">
        <x:v>Yes</x:v>
      </x:c>
      <x:c r="J59" s="141" t="str">
        <x:v>Resolved</x:v>
      </x:c>
      <x:c r="K59" s="141" t="str">
        <x:v>Yes</x:v>
      </x:c>
    </x:row>
    <x:row r="60">
      <x:c r="A60" s="141" t="str">
        <x:v>ER-055</x:v>
      </x:c>
      <x:c r="B60" s="171" t="n">
        <x:v>46360</x:v>
      </x:c>
      <x:c r="C60" s="141" t="str">
        <x:v>Q4</x:v>
      </x:c>
      <x:c r="D60" s="141" t="str">
        <x:v>Harassment allegation</x:v>
      </x:c>
      <x:c r="E60" s="141" t="str">
        <x:v>Medium</x:v>
      </x:c>
      <x:c r="F60" s="171" t="n">
        <x:v>46366</x:v>
      </x:c>
      <x:c r="G60" s="141" t="n">
        <x:v>6</x:v>
      </x:c>
      <x:c r="H60" s="141" t="n">
        <x:v>14</x:v>
      </x:c>
      <x:c r="I60" s="141" t="str">
        <x:v>Yes</x:v>
      </x:c>
      <x:c r="J60" s="141" t="str">
        <x:v>Resolved</x:v>
      </x:c>
      <x:c r="K60" s="141" t="str">
        <x:v>Yes</x:v>
      </x:c>
    </x:row>
  </x:sheetData>
  <x:mergeCells>
    <x:mergeCell ref="A1:K2"/>
    <x:mergeCell ref="A3:K3"/>
  </x:mergeCells>
  <x:conditionalFormatting sqref="G6:G60">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f6b44d18662f4365"/>
  </x:tableParts>
</x:worksheet>
</file>

<file path=xl/worksheets/sheet18.xml><?xml version="1.0" encoding="utf-8"?>
<x:worksheet xmlns:x="http://schemas.openxmlformats.org/spreadsheetml/2006/main">
  <x:sheetFormatPr defaultRowHeight="15"/>
  <x:cols>
    <x:col min="1" max="1" width="13" hidden="0" customWidth="1"/>
    <x:col min="2" max="2" width="1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x:c r="A1" s="88" t="str">
        <x:v>HRIS Adoption and Data Quality</x:v>
      </x:c>
      <x:c r="B1" s="88"/>
      <x:c r="C1" s="88"/>
      <x:c r="D1" s="88"/>
      <x:c r="E1" s="88"/>
      <x:c r="F1" s="88"/>
      <x:c r="G1" s="88"/>
      <x:c r="H1" s="88"/>
      <x:c r="I1" s="88"/>
      <x:c r="J1" s="88"/>
    </x:row>
    <x:row r="2">
      <x:c r="A2" s="88"/>
      <x:c r="B2" s="88"/>
      <x:c r="C2" s="88"/>
      <x:c r="D2" s="88"/>
      <x:c r="E2" s="88"/>
      <x:c r="F2" s="88"/>
      <x:c r="G2" s="88"/>
      <x:c r="H2" s="88"/>
      <x:c r="I2" s="88"/>
      <x:c r="J2" s="88"/>
    </x:row>
    <x:row r="3">
      <x:c r="A3" s="13" t="str">
        <x:v>Monthly adoption, self-service, paper reduction, data completeness and service cost support the HR Technology pillar.</x:v>
      </x:c>
      <x:c r="B3" s="13"/>
      <x:c r="C3" s="13"/>
      <x:c r="D3" s="13"/>
      <x:c r="E3" s="13"/>
      <x:c r="F3" s="13"/>
      <x:c r="G3" s="13"/>
      <x:c r="H3" s="13"/>
      <x:c r="I3" s="13"/>
      <x:c r="J3" s="13"/>
    </x:row>
    <x:row r="5" ht="30" customHeight="1">
      <x:c r="A5" s="135" t="str">
        <x:v>Month</x:v>
      </x:c>
      <x:c r="B5" s="135" t="str">
        <x:v>Quarter</x:v>
      </x:c>
      <x:c r="C5" s="135" t="str">
        <x:v>Active_Headcount</x:v>
      </x:c>
      <x:c r="D5" s="135" t="str">
        <x:v>HRIS_Registered_Users</x:v>
      </x:c>
      <x:c r="E5" s="135" t="str">
        <x:v>Monthly_Active_Users</x:v>
      </x:c>
      <x:c r="F5" s="135" t="str">
        <x:v>Self_Service_Transactions</x:v>
      </x:c>
      <x:c r="G5" s="135" t="str">
        <x:v>Paper_Transactions</x:v>
      </x:c>
      <x:c r="H5" s="135" t="str">
        <x:v>HRIS_Adoption_Rate</x:v>
      </x:c>
      <x:c r="I5" s="135" t="str">
        <x:v>Data_Completeness_Rate</x:v>
      </x:c>
      <x:c r="J5" s="135" t="str">
        <x:v>Average_HR_Service_Cost_BDT</x:v>
      </x:c>
    </x:row>
    <x:row r="6">
      <x:c r="A6" s="171" t="n">
        <x:v>46023</x:v>
      </x:c>
      <x:c r="B6" s="141" t="str">
        <x:v>Q1</x:v>
      </x:c>
      <x:c r="C6" s="141" t="n">
        <x:v>100</x:v>
      </x:c>
      <x:c r="D6" s="141" t="n">
        <x:v>12</x:v>
      </x:c>
      <x:c r="E6" s="141" t="n">
        <x:v>8</x:v>
      </x:c>
      <x:c r="F6" s="141" t="n">
        <x:v>41</x:v>
      </x:c>
      <x:c r="G6" s="141" t="n">
        <x:v>162</x:v>
      </x:c>
      <x:c r="H6" s="175" t="n">
        <x:v>0.12</x:v>
      </x:c>
      <x:c r="I6" s="175" t="n">
        <x:v>0.71</x:v>
      </x:c>
      <x:c r="J6" s="141" t="n">
        <x:v>620</x:v>
      </x:c>
    </x:row>
    <x:row r="7">
      <x:c r="A7" s="171" t="n">
        <x:v>46054</x:v>
      </x:c>
      <x:c r="B7" s="141" t="str">
        <x:v>Q1</x:v>
      </x:c>
      <x:c r="C7" s="141" t="n">
        <x:v>63</x:v>
      </x:c>
      <x:c r="D7" s="141" t="n">
        <x:v>9</x:v>
      </x:c>
      <x:c r="E7" s="141" t="n">
        <x:v>6</x:v>
      </x:c>
      <x:c r="F7" s="141" t="n">
        <x:v>81</x:v>
      </x:c>
      <x:c r="G7" s="141" t="n">
        <x:v>149</x:v>
      </x:c>
      <x:c r="H7" s="175" t="n">
        <x:v>0.15</x:v>
      </x:c>
      <x:c r="I7" s="175" t="n">
        <x:v>0.73</x:v>
      </x:c>
      <x:c r="J7" s="141" t="n">
        <x:v>610</x:v>
      </x:c>
    </x:row>
    <x:row r="8">
      <x:c r="A8" s="171" t="n">
        <x:v>46082</x:v>
      </x:c>
      <x:c r="B8" s="141" t="str">
        <x:v>Q1</x:v>
      </x:c>
      <x:c r="C8" s="141" t="n">
        <x:v>52</x:v>
      </x:c>
      <x:c r="D8" s="141" t="n">
        <x:v>9</x:v>
      </x:c>
      <x:c r="E8" s="141" t="n">
        <x:v>6</x:v>
      </x:c>
      <x:c r="F8" s="141" t="n">
        <x:v>100</x:v>
      </x:c>
      <x:c r="G8" s="141" t="n">
        <x:v>142</x:v>
      </x:c>
      <x:c r="H8" s="175" t="n">
        <x:v>0.18</x:v>
      </x:c>
      <x:c r="I8" s="175" t="n">
        <x:v>0.76</x:v>
      </x:c>
      <x:c r="J8" s="141" t="n">
        <x:v>590</x:v>
      </x:c>
    </x:row>
    <x:row r="9">
      <x:c r="A9" s="171" t="n">
        <x:v>46113</x:v>
      </x:c>
      <x:c r="B9" s="141" t="str">
        <x:v>Q2</x:v>
      </x:c>
      <x:c r="C9" s="141" t="n">
        <x:v>56</x:v>
      </x:c>
      <x:c r="D9" s="141" t="n">
        <x:v>20</x:v>
      </x:c>
      <x:c r="E9" s="141" t="n">
        <x:v>16</x:v>
      </x:c>
      <x:c r="F9" s="141" t="n">
        <x:v>114</x:v>
      </x:c>
      <x:c r="G9" s="141" t="n">
        <x:v>124</x:v>
      </x:c>
      <x:c r="H9" s="175" t="n">
        <x:v>0.35</x:v>
      </x:c>
      <x:c r="I9" s="175" t="n">
        <x:v>0.8</x:v>
      </x:c>
      <x:c r="J9" s="141" t="n">
        <x:v>560</x:v>
      </x:c>
    </x:row>
    <x:row r="10">
      <x:c r="A10" s="171" t="n">
        <x:v>46143</x:v>
      </x:c>
      <x:c r="B10" s="141" t="str">
        <x:v>Q2</x:v>
      </x:c>
      <x:c r="C10" s="141" t="n">
        <x:v>62</x:v>
      </x:c>
      <x:c r="D10" s="141" t="n">
        <x:v>32</x:v>
      </x:c>
      <x:c r="E10" s="141" t="n">
        <x:v>27</x:v>
      </x:c>
      <x:c r="F10" s="141" t="n">
        <x:v>130</x:v>
      </x:c>
      <x:c r="G10" s="141" t="n">
        <x:v>116</x:v>
      </x:c>
      <x:c r="H10" s="175" t="n">
        <x:v>0.52</x:v>
      </x:c>
      <x:c r="I10" s="175" t="n">
        <x:v>0.84</x:v>
      </x:c>
      <x:c r="J10" s="141" t="n">
        <x:v>520</x:v>
      </x:c>
    </x:row>
    <x:row r="11">
      <x:c r="A11" s="171" t="n">
        <x:v>46174</x:v>
      </x:c>
      <x:c r="B11" s="141" t="str">
        <x:v>Q2</x:v>
      </x:c>
      <x:c r="C11" s="141" t="n">
        <x:v>70</x:v>
      </x:c>
      <x:c r="D11" s="141" t="n">
        <x:v>47</x:v>
      </x:c>
      <x:c r="E11" s="141" t="n">
        <x:v>41</x:v>
      </x:c>
      <x:c r="F11" s="141" t="n">
        <x:v>168</x:v>
      </x:c>
      <x:c r="G11" s="141" t="n">
        <x:v>100</x:v>
      </x:c>
      <x:c r="H11" s="175" t="n">
        <x:v>0.67</x:v>
      </x:c>
      <x:c r="I11" s="175" t="n">
        <x:v>0.88</x:v>
      </x:c>
      <x:c r="J11" s="141" t="n">
        <x:v>480</x:v>
      </x:c>
    </x:row>
    <x:row r="12">
      <x:c r="A12" s="171" t="n">
        <x:v>46204</x:v>
      </x:c>
      <x:c r="B12" s="141" t="str">
        <x:v>Q3</x:v>
      </x:c>
      <x:c r="C12" s="141" t="n">
        <x:v>74</x:v>
      </x:c>
      <x:c r="D12" s="141" t="n">
        <x:v>56</x:v>
      </x:c>
      <x:c r="E12" s="141" t="n">
        <x:v>51</x:v>
      </x:c>
      <x:c r="F12" s="141" t="n">
        <x:v>175</x:v>
      </x:c>
      <x:c r="G12" s="141" t="n">
        <x:v>83</x:v>
      </x:c>
      <x:c r="H12" s="175" t="n">
        <x:v>0.76</x:v>
      </x:c>
      <x:c r="I12" s="175" t="n">
        <x:v>0.91</x:v>
      </x:c>
      <x:c r="J12" s="141" t="n">
        <x:v>440</x:v>
      </x:c>
    </x:row>
    <x:row r="13">
      <x:c r="A13" s="171" t="n">
        <x:v>46235</x:v>
      </x:c>
      <x:c r="B13" s="141" t="str">
        <x:v>Q3</x:v>
      </x:c>
      <x:c r="C13" s="141" t="n">
        <x:v>90</x:v>
      </x:c>
      <x:c r="D13" s="141" t="n">
        <x:v>75</x:v>
      </x:c>
      <x:c r="E13" s="141" t="n">
        <x:v>68</x:v>
      </x:c>
      <x:c r="F13" s="141" t="n">
        <x:v>211</x:v>
      </x:c>
      <x:c r="G13" s="141" t="n">
        <x:v>78</x:v>
      </x:c>
      <x:c r="H13" s="175" t="n">
        <x:v>0.83</x:v>
      </x:c>
      <x:c r="I13" s="175" t="n">
        <x:v>0.93</x:v>
      </x:c>
      <x:c r="J13" s="141" t="n">
        <x:v>410</x:v>
      </x:c>
    </x:row>
    <x:row r="14">
      <x:c r="A14" s="171" t="n">
        <x:v>46266</x:v>
      </x:c>
      <x:c r="B14" s="141" t="str">
        <x:v>Q3</x:v>
      </x:c>
      <x:c r="C14" s="141" t="n">
        <x:v>99</x:v>
      </x:c>
      <x:c r="D14" s="141" t="n">
        <x:v>87</x:v>
      </x:c>
      <x:c r="E14" s="141" t="n">
        <x:v>81</x:v>
      </x:c>
      <x:c r="F14" s="141" t="n">
        <x:v>222</x:v>
      </x:c>
      <x:c r="G14" s="141" t="n">
        <x:v>61</x:v>
      </x:c>
      <x:c r="H14" s="175" t="n">
        <x:v>0.88</x:v>
      </x:c>
      <x:c r="I14" s="175" t="n">
        <x:v>0.95</x:v>
      </x:c>
      <x:c r="J14" s="141" t="n">
        <x:v>380</x:v>
      </x:c>
    </x:row>
    <x:row r="15">
      <x:c r="A15" s="171" t="n">
        <x:v>46296</x:v>
      </x:c>
      <x:c r="B15" s="141" t="str">
        <x:v>Q4</x:v>
      </x:c>
      <x:c r="C15" s="141" t="n">
        <x:v>107</x:v>
      </x:c>
      <x:c r="D15" s="141" t="n">
        <x:v>98</x:v>
      </x:c>
      <x:c r="E15" s="141" t="n">
        <x:v>94</x:v>
      </x:c>
      <x:c r="F15" s="141" t="n">
        <x:v>242</x:v>
      </x:c>
      <x:c r="G15" s="141" t="n">
        <x:v>46</x:v>
      </x:c>
      <x:c r="H15" s="175" t="n">
        <x:v>0.92</x:v>
      </x:c>
      <x:c r="I15" s="175" t="n">
        <x:v>0.97</x:v>
      </x:c>
      <x:c r="J15" s="141" t="n">
        <x:v>350</x:v>
      </x:c>
    </x:row>
    <x:row r="16">
      <x:c r="A16" s="171" t="n">
        <x:v>46327</x:v>
      </x:c>
      <x:c r="B16" s="141" t="str">
        <x:v>Q4</x:v>
      </x:c>
      <x:c r="C16" s="141" t="n">
        <x:v>112</x:v>
      </x:c>
      <x:c r="D16" s="141" t="n">
        <x:v>106</x:v>
      </x:c>
      <x:c r="E16" s="141" t="n">
        <x:v>103</x:v>
      </x:c>
      <x:c r="F16" s="141" t="n">
        <x:v>277</x:v>
      </x:c>
      <x:c r="G16" s="141" t="n">
        <x:v>33</x:v>
      </x:c>
      <x:c r="H16" s="175" t="n">
        <x:v>0.95</x:v>
      </x:c>
      <x:c r="I16" s="175" t="n">
        <x:v>0.98</x:v>
      </x:c>
      <x:c r="J16" s="141" t="n">
        <x:v>330</x:v>
      </x:c>
    </x:row>
    <x:row r="17">
      <x:c r="A17" s="171" t="n">
        <x:v>46357</x:v>
      </x:c>
      <x:c r="B17" s="141" t="str">
        <x:v>Q4</x:v>
      </x:c>
      <x:c r="C17" s="141" t="n">
        <x:v>114</x:v>
      </x:c>
      <x:c r="D17" s="141" t="n">
        <x:v>111</x:v>
      </x:c>
      <x:c r="E17" s="141" t="n">
        <x:v>107</x:v>
      </x:c>
      <x:c r="F17" s="141" t="n">
        <x:v>298</x:v>
      </x:c>
      <x:c r="G17" s="141" t="n">
        <x:v>29</x:v>
      </x:c>
      <x:c r="H17" s="175" t="n">
        <x:v>0.97</x:v>
      </x:c>
      <x:c r="I17" s="175" t="n">
        <x:v>0.985</x:v>
      </x:c>
      <x:c r="J17" s="141" t="n">
        <x:v>315</x:v>
      </x:c>
    </x:row>
  </x:sheetData>
  <x:mergeCells>
    <x:mergeCell ref="A1:J2"/>
    <x:mergeCell ref="A3:J3"/>
  </x:mergeCells>
  <x:conditionalFormatting sqref="H6:H17">
    <x:cfRule type="colorScale" priority="1">
      <x:colorScale>
        <x:cfvo type="min"/>
        <x:cfvo type="percentile" val="50"/>
        <x:cfvo type="max"/>
        <x:color rgb="FFFEE2E2"/>
        <x:color rgb="FFFEF3C7"/>
        <x:color rgb="FFDCFCE7"/>
      </x:colorScale>
    </x:cfRule>
  </x:conditionalFormatting>
  <x:conditionalFormatting sqref="I6:I17">
    <x:cfRule type="colorScale" priority="2">
      <x:colorScale>
        <x:cfvo type="min"/>
        <x:cfvo type="percentile" val="50"/>
        <x:cfvo type="max"/>
        <x:color rgb="FFFEE2E2"/>
        <x:color rgb="FFFEF3C7"/>
        <x:color rgb="FFDCFCE7"/>
      </x:colorScale>
    </x:cfRule>
  </x:conditionalFormatting>
  <x:conditionalFormatting sqref="J6:J17">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29c4f25534ba402d"/>
  </x:tableParts>
</x:worksheet>
</file>

<file path=xl/worksheets/sheet19.xml><?xml version="1.0" encoding="utf-8"?>
<x:worksheet xmlns:x="http://schemas.openxmlformats.org/spreadsheetml/2006/main">
  <x:sheetFormatPr defaultRowHeight="15"/>
  <x:cols>
    <x:col min="1" max="1" width="30" hidden="0" customWidth="1"/>
    <x:col min="2" max="2" width="36" hidden="0" customWidth="1"/>
    <x:col min="3" max="3" width="14" hidden="0" customWidth="1"/>
    <x:col min="4" max="4" width="14" hidden="0" customWidth="1"/>
    <x:col min="5" max="5" width="14" hidden="0" customWidth="1"/>
    <x:col min="6" max="6" width="14" hidden="0" customWidth="1"/>
    <x:col min="7" max="7" width="34" hidden="0" customWidth="1"/>
  </x:cols>
  <x:sheetData>
    <x:row r="1">
      <x:c r="A1" s="88" t="str">
        <x:v>Q1 Feasibility, Workforce Scenarios and Risk Register</x:v>
      </x:c>
      <x:c r="B1" s="88"/>
      <x:c r="C1" s="88"/>
      <x:c r="D1" s="88"/>
      <x:c r="E1" s="88"/>
      <x:c r="F1" s="88"/>
      <x:c r="G1" s="88"/>
    </x:row>
    <x:row r="2">
      <x:c r="A2" s="88"/>
      <x:c r="B2" s="88"/>
      <x:c r="C2" s="88"/>
      <x:c r="D2" s="88"/>
      <x:c r="E2" s="88"/>
      <x:c r="F2" s="88"/>
      <x:c r="G2" s="88"/>
    </x:row>
    <x:row r="3">
      <x:c r="A3" s="13" t="str">
        <x:v>This sheet combines the selected intervention logic and the major people, data and operating risks.</x:v>
      </x:c>
      <x:c r="B3" s="13"/>
      <x:c r="C3" s="13"/>
      <x:c r="D3" s="13"/>
      <x:c r="E3" s="13"/>
      <x:c r="F3" s="13"/>
      <x:c r="G3" s="13"/>
    </x:row>
    <x:row r="5" ht="30" customHeight="1">
      <x:c r="A5" s="135" t="str">
        <x:v>Scenario</x:v>
      </x:c>
      <x:c r="B5" s="135" t="str">
        <x:v>Headcount_End_2026</x:v>
      </x:c>
      <x:c r="C5" s="135" t="str">
        <x:v>Annual_Revenue_BDT_M</x:v>
      </x:c>
      <x:c r="D5" s="135" t="str">
        <x:v>Annual_Operating_Profit_BDT_M</x:v>
      </x:c>
      <x:c r="E5" s="135" t="str">
        <x:v>Defect_Rate_Q4</x:v>
      </x:c>
      <x:c r="F5" s="135" t="str">
        <x:v>Business_Sale_Risk</x:v>
      </x:c>
      <x:c r="G5" s="135" t="str">
        <x:v>Recommendation</x:v>
      </x:c>
    </x:row>
    <x:row r="6">
      <x:c r="A6" s="141" t="str">
        <x:v>A - Continue without intervention</x:v>
      </x:c>
      <x:c r="B6" s="141" t="n">
        <x:v>96</x:v>
      </x:c>
      <x:c r="C6" s="141" t="n">
        <x:v>335</x:v>
      </x:c>
      <x:c r="D6" s="141" t="n">
        <x:v>-86</x:v>
      </x:c>
      <x:c r="E6" s="175" t="n">
        <x:v>0.145</x:v>
      </x:c>
      <x:c r="F6" s="141" t="str">
        <x:v>Critical</x:v>
      </x:c>
      <x:c r="G6" s="141" t="str">
        <x:v>Reject</x:v>
      </x:c>
    </x:row>
    <x:row r="7">
      <x:c r="A7" s="141" t="str">
        <x:v>B - Cost-only layoff</x:v>
      </x:c>
      <x:c r="B7" s="141" t="n">
        <x:v>55</x:v>
      </x:c>
      <x:c r="C7" s="141" t="n">
        <x:v>285</x:v>
      </x:c>
      <x:c r="D7" s="141" t="n">
        <x:v>-38</x:v>
      </x:c>
      <x:c r="E7" s="175" t="n">
        <x:v>0.112</x:v>
      </x:c>
      <x:c r="F7" s="141" t="str">
        <x:v>High</x:v>
      </x:c>
      <x:c r="G7" s="141" t="str">
        <x:v>Reject</x:v>
      </x:c>
    </x:row>
    <x:row r="8">
      <x:c r="A8" s="141" t="str">
        <x:v>C - HRBP pilot then scale</x:v>
      </x:c>
      <x:c r="B8" s="141" t="n">
        <x:v>114</x:v>
      </x:c>
      <x:c r="C8" s="141" t="n">
        <x:v>591</x:v>
      </x:c>
      <x:c r="D8" s="141" t="n">
        <x:v>-1.27</x:v>
      </x:c>
      <x:c r="E8" s="175" t="n">
        <x:v>0.024</x:v>
      </x:c>
      <x:c r="F8" s="141" t="str">
        <x:v>Low</x:v>
      </x:c>
      <x:c r="G8" s="141" t="str">
        <x:v>Selected</x:v>
      </x:c>
    </x:row>
    <x:row r="9">
      <x:c r="A9" s="141" t="str">
        <x:v>D - Immediate large-scale hiring</x:v>
      </x:c>
      <x:c r="B9" s="141" t="n">
        <x:v>165</x:v>
      </x:c>
      <x:c r="C9" s="141" t="n">
        <x:v>540</x:v>
      </x:c>
      <x:c r="D9" s="141" t="n">
        <x:v>-14</x:v>
      </x:c>
      <x:c r="E9" s="175" t="n">
        <x:v>0.055</x:v>
      </x:c>
      <x:c r="F9" s="141" t="str">
        <x:v>Moderate</x:v>
      </x:c>
      <x:c r="G9" s="141" t="str">
        <x:v>Reject</x:v>
      </x:c>
    </x:row>
    <x:row r="13">
      <x:c r="A13" s="178" t="str">
        <x:v>Risk_ID</x:v>
      </x:c>
      <x:c r="B13" s="178" t="str">
        <x:v>Risk</x:v>
      </x:c>
      <x:c r="C13" s="178" t="str">
        <x:v>Category</x:v>
      </x:c>
      <x:c r="D13" s="178" t="str">
        <x:v>Likelihood</x:v>
      </x:c>
      <x:c r="E13" s="178" t="str">
        <x:v>Impact</x:v>
      </x:c>
      <x:c r="F13" s="178" t="str">
        <x:v>Risk_Score</x:v>
      </x:c>
      <x:c r="G13" s="178" t="str">
        <x:v>Mitigation</x:v>
      </x:c>
      <x:c r="H13" s="178" t="str">
        <x:v>Owner</x:v>
      </x:c>
      <x:c r="I13" s="178" t="str">
        <x:v>Status</x:v>
      </x:c>
    </x:row>
    <x:row r="14">
      <x:c r="A14" s="119" t="str">
        <x:v>R-01</x:v>
      </x:c>
      <x:c r="B14" s="119" t="str">
        <x:v>Loss of critical knowledge during restructuring</x:v>
      </x:c>
      <x:c r="C14" s="119" t="str">
        <x:v>People</x:v>
      </x:c>
      <x:c r="D14" s="119" t="str">
        <x:v>Medium</x:v>
      </x:c>
      <x:c r="E14" s="119" t="str">
        <x:v>High</x:v>
      </x:c>
      <x:c r="F14" s="119" t="n">
        <x:v>12</x:v>
      </x:c>
      <x:c r="G14" s="119" t="str">
        <x:v>Critical-role review, knowledge transfer and rehire pool</x:v>
      </x:c>
      <x:c r="H14" s="119" t="str">
        <x:v>Lead HRBP</x:v>
      </x:c>
      <x:c r="I14" s="119" t="str">
        <x:v>Controlled</x:v>
      </x:c>
    </x:row>
    <x:row r="15">
      <x:c r="A15" s="119" t="str">
        <x:v>R-02</x:v>
      </x:c>
      <x:c r="B15" s="119" t="str">
        <x:v>Remaining employees experience burnout after headcount reduction</x:v>
      </x:c>
      <x:c r="C15" s="119" t="str">
        <x:v>People</x:v>
      </x:c>
      <x:c r="D15" s="119" t="str">
        <x:v>High</x:v>
      </x:c>
      <x:c r="E15" s="119" t="str">
        <x:v>High</x:v>
      </x:c>
      <x:c r="F15" s="119" t="n">
        <x:v>16</x:v>
      </x:c>
      <x:c r="G15" s="119" t="str">
        <x:v>Workload cap, overtime dashboard, supervisor check-ins and phased hiring</x:v>
      </x:c>
      <x:c r="H15" s="119" t="str">
        <x:v>COO + HRBP</x:v>
      </x:c>
      <x:c r="I15" s="119" t="str">
        <x:v>Monitoring</x:v>
      </x:c>
    </x:row>
    <x:row r="16">
      <x:c r="A16" s="119" t="str">
        <x:v>R-03</x:v>
      </x:c>
      <x:c r="B16" s="119" t="str">
        <x:v>Pilot results are not statistically representative</x:v>
      </x:c>
      <x:c r="C16" s="119" t="str">
        <x:v>Analytics</x:v>
      </x:c>
      <x:c r="D16" s="119" t="str">
        <x:v>Medium</x:v>
      </x:c>
      <x:c r="E16" s="119" t="str">
        <x:v>Medium</x:v>
      </x:c>
      <x:c r="F16" s="119" t="n">
        <x:v>9</x:v>
      </x:c>
      <x:c r="G16" s="119" t="str">
        <x:v>Use test-control comparison and predefined success criteria</x:v>
      </x:c>
      <x:c r="H16" s="119" t="str">
        <x:v>People Analytics</x:v>
      </x:c>
      <x:c r="I16" s="119" t="str">
        <x:v>Controlled</x:v>
      </x:c>
    </x:row>
    <x:row r="17">
      <x:c r="A17" s="119" t="str">
        <x:v>R-04</x:v>
      </x:c>
      <x:c r="B17" s="119" t="str">
        <x:v>Poor source data undermines decisions</x:v>
      </x:c>
      <x:c r="C17" s="119" t="str">
        <x:v>Data</x:v>
      </x:c>
      <x:c r="D17" s="119" t="str">
        <x:v>High</x:v>
      </x:c>
      <x:c r="E17" s="119" t="str">
        <x:v>High</x:v>
      </x:c>
      <x:c r="F17" s="119" t="n">
        <x:v>16</x:v>
      </x:c>
      <x:c r="G17" s="119" t="str">
        <x:v>Data dictionary, validation rules and data-quality log</x:v>
      </x:c>
      <x:c r="H17" s="119" t="str">
        <x:v>HRIS Analyst</x:v>
      </x:c>
      <x:c r="I17" s="119" t="str">
        <x:v>Improving</x:v>
      </x:c>
    </x:row>
    <x:row r="18">
      <x:c r="A18" s="119" t="str">
        <x:v>R-05</x:v>
      </x:c>
      <x:c r="B18" s="119" t="str">
        <x:v>Scarce embedded and precision skills remain unavailable</x:v>
      </x:c>
      <x:c r="C18" s="119" t="str">
        <x:v>Talent</x:v>
      </x:c>
      <x:c r="D18" s="119" t="str">
        <x:v>High</x:v>
      </x:c>
      <x:c r="E18" s="119" t="str">
        <x:v>High</x:v>
      </x:c>
      <x:c r="F18" s="119" t="n">
        <x:v>16</x:v>
      </x:c>
      <x:c r="G18" s="119" t="str">
        <x:v>University pipeline, referral, certification and targeted sourcing</x:v>
      </x:c>
      <x:c r="H18" s="119" t="str">
        <x:v>Talent Acquisition</x:v>
      </x:c>
      <x:c r="I18" s="119" t="str">
        <x:v>Improving</x:v>
      </x:c>
    </x:row>
    <x:row r="19">
      <x:c r="A19" s="119" t="str">
        <x:v>R-06</x:v>
      </x:c>
      <x:c r="B19" s="119" t="str">
        <x:v>Employees perceive workforce reset as unfair</x:v>
      </x:c>
      <x:c r="C19" s="119" t="str">
        <x:v>ER and Compliance</x:v>
      </x:c>
      <x:c r="D19" s="119" t="str">
        <x:v>Medium</x:v>
      </x:c>
      <x:c r="E19" s="119" t="str">
        <x:v>High</x:v>
      </x:c>
      <x:c r="F19" s="119" t="n">
        <x:v>12</x:v>
      </x:c>
      <x:c r="G19" s="119" t="str">
        <x:v>Documented criteria, legal review, communication and appeal route</x:v>
      </x:c>
      <x:c r="H19" s="119" t="str">
        <x:v>Head of HR</x:v>
      </x:c>
      <x:c r="I19" s="119" t="str">
        <x:v>Controlled</x:v>
      </x:c>
    </x:row>
    <x:row r="20">
      <x:c r="A20" s="119" t="str">
        <x:v>R-07</x:v>
      </x:c>
      <x:c r="B20" s="119" t="str">
        <x:v>Supplier quality limits production improvement</x:v>
      </x:c>
      <x:c r="C20" s="119" t="str">
        <x:v>Operations</x:v>
      </x:c>
      <x:c r="D20" s="119" t="str">
        <x:v>Medium</x:v>
      </x:c>
      <x:c r="E20" s="119" t="str">
        <x:v>High</x:v>
      </x:c>
      <x:c r="F20" s="119" t="n">
        <x:v>12</x:v>
      </x:c>
      <x:c r="G20" s="119" t="str">
        <x:v>Vendor scorecard and incoming quality inspection</x:v>
      </x:c>
      <x:c r="H20" s="119" t="str">
        <x:v>Supply Chain</x:v>
      </x:c>
      <x:c r="I20" s="119" t="str">
        <x:v>Monitoring</x:v>
      </x:c>
    </x:row>
  </x:sheetData>
  <x:mergeCells>
    <x:mergeCell ref="A1:G2"/>
    <x:mergeCell ref="A3:G3"/>
  </x:mergeCells>
  <x:conditionalFormatting sqref="D6:D9">
    <x:cfRule type="colorScale" priority="1">
      <x:colorScale>
        <x:cfvo type="min"/>
        <x:cfvo type="percentile" val="50"/>
        <x:cfvo type="max"/>
        <x:color rgb="FFFEE2E2"/>
        <x:color rgb="FFFEF3C7"/>
        <x:color rgb="FFDCFCE7"/>
      </x:colorScale>
    </x:cfRule>
  </x:conditionalFormatting>
  <x:conditionalFormatting sqref="F14:F20">
    <x:cfRule type="colorScale" priority="2">
      <x:colorScale>
        <x:cfvo type="min"/>
        <x:cfvo type="percentile" val="50"/>
        <x:cfvo type="max"/>
        <x:color rgb="FFDCFCE7"/>
        <x:color rgb="FFFEF3C7"/>
        <x:color rgb="FFFEE2E2"/>
      </x:colorScale>
    </x:cfRule>
  </x:conditionalFormatting>
  <x:pageMargins left="0.7" right="0.7" top="0.75" bottom="0.75" header="0.3" footer="0.3"/>
  <x:tableParts count="1">
    <x:tablePart xmlns:r="http://schemas.openxmlformats.org/officeDocument/2006/relationships" r:id="R3078e17381bb452e"/>
  </x:tableParts>
</x:worksheet>
</file>

<file path=xl/worksheets/sheet20.xml><?xml version="1.0" encoding="utf-8"?>
<x:worksheet xmlns:x="http://schemas.openxmlformats.org/spreadsheetml/2006/main">
  <x:sheetFormatPr defaultRowHeight="15"/>
  <x:cols>
    <x:col min="1" max="1" width="28" hidden="0" customWidth="1"/>
    <x:col min="2" max="2" width="32" hidden="0" customWidth="1"/>
    <x:col min="3" max="3" width="24" hidden="0" customWidth="1"/>
    <x:col min="4" max="4" width="38" hidden="0" customWidth="1"/>
    <x:col min="5" max="5" width="14" hidden="0" customWidth="1"/>
  </x:cols>
  <x:sheetData>
    <x:row r="1">
      <x:c r="A1" s="88" t="str">
        <x:v>Dataset Catalogue and Power BI Roles</x:v>
      </x:c>
      <x:c r="B1" s="88"/>
      <x:c r="C1" s="88"/>
      <x:c r="D1" s="88"/>
      <x:c r="E1" s="88"/>
    </x:row>
    <x:row r="2">
      <x:c r="A2" s="88"/>
      <x:c r="B2" s="88"/>
      <x:c r="C2" s="88"/>
      <x:c r="D2" s="88"/>
      <x:c r="E2" s="88"/>
    </x:row>
    <x:row r="3">
      <x:c r="A3" s="13" t="str">
        <x:v>Use this sheet to understand table grain, keys and model role before building Power BI or Looker Studio.</x:v>
      </x:c>
      <x:c r="B3" s="13"/>
      <x:c r="C3" s="13"/>
      <x:c r="D3" s="13"/>
      <x:c r="E3" s="13"/>
    </x:row>
    <x:row r="5" ht="30" customHeight="1">
      <x:c r="A5" s="135" t="str">
        <x:v>Table</x:v>
      </x:c>
      <x:c r="B5" s="135" t="str">
        <x:v>Grain</x:v>
      </x:c>
      <x:c r="C5" s="135" t="str">
        <x:v>Primary_Key</x:v>
      </x:c>
      <x:c r="D5" s="135" t="str">
        <x:v>Purpose</x:v>
      </x:c>
      <x:c r="E5" s="135" t="str">
        <x:v>PowerBI_Role</x:v>
      </x:c>
    </x:row>
    <x:row r="6">
      <x:c r="A6" s="141" t="str">
        <x:v>Employee_Master</x:v>
      </x:c>
      <x:c r="B6" s="141" t="str">
        <x:v>One row per employee</x:v>
      </x:c>
      <x:c r="C6" s="141" t="str">
        <x:v>Employee_ID</x:v>
      </x:c>
      <x:c r="D6" s="141" t="str">
        <x:v>Workforce, cost, demographic, skill and status analysis</x:v>
      </x:c>
      <x:c r="E6" s="141" t="str">
        <x:v>Dimension</x:v>
      </x:c>
    </x:row>
    <x:row r="7">
      <x:c r="A7" s="141" t="str">
        <x:v>Layoff_and_Restructuring</x:v>
      </x:c>
      <x:c r="B7" s="141" t="str">
        <x:v>One row per role/employee affected</x:v>
      </x:c>
      <x:c r="C7" s="141" t="str">
        <x:v>Restructuring_ID</x:v>
      </x:c>
      <x:c r="D7" s="141" t="str">
        <x:v>Workforce reset, savings, risk and ethical control</x:v>
      </x:c>
      <x:c r="E7" s="141" t="str">
        <x:v>Fact</x:v>
      </x:c>
    </x:row>
    <x:row r="8">
      <x:c r="A8" s="141" t="str">
        <x:v>Recruitment_Funnel</x:v>
      </x:c>
      <x:c r="B8" s="141" t="str">
        <x:v>One row per requisition</x:v>
      </x:c>
      <x:c r="C8" s="141" t="str">
        <x:v>Requisition_ID</x:v>
      </x:c>
      <x:c r="D8" s="141" t="str">
        <x:v>Hiring speed, funnel conversion, cost and quality</x:v>
      </x:c>
      <x:c r="E8" s="141" t="str">
        <x:v>Fact</x:v>
      </x:c>
    </x:row>
    <x:row r="9">
      <x:c r="A9" s="141" t="str">
        <x:v>Training_Records</x:v>
      </x:c>
      <x:c r="B9" s="141" t="str">
        <x:v>One row per employee-course event</x:v>
      </x:c>
      <x:c r="C9" s="141" t="str">
        <x:v>Training_Record_ID</x:v>
      </x:c>
      <x:c r="D9" s="141" t="str">
        <x:v>Learning, certification, hours and cost</x:v>
      </x:c>
      <x:c r="E9" s="141" t="str">
        <x:v>Fact</x:v>
      </x:c>
    </x:row>
    <x:row r="10">
      <x:c r="A10" s="141" t="str">
        <x:v>Performance_Quarterly</x:v>
      </x:c>
      <x:c r="B10" s="141" t="str">
        <x:v>One row per employee-quarter</x:v>
      </x:c>
      <x:c r="C10" s="141" t="str">
        <x:v>Performance_Record_ID</x:v>
      </x:c>
      <x:c r="D10" s="141" t="str">
        <x:v>Goal, quality, behaviour and review completion</x:v>
      </x:c>
      <x:c r="E10" s="141" t="str">
        <x:v>Fact</x:v>
      </x:c>
    </x:row>
    <x:row r="11">
      <x:c r="A11" s="141" t="str">
        <x:v>Attendance_Monthly</x:v>
      </x:c>
      <x:c r="B11" s="141" t="str">
        <x:v>One row per department-month</x:v>
      </x:c>
      <x:c r="C11" s="141" t="str">
        <x:v>Month + Department</x:v>
      </x:c>
      <x:c r="D11" s="141" t="str">
        <x:v>Absence, overtime, lateness and safety</x:v>
      </x:c>
      <x:c r="E11" s="141" t="str">
        <x:v>Fact</x:v>
      </x:c>
    </x:row>
    <x:row r="12">
      <x:c r="A12" s="141" t="str">
        <x:v>Production_Monthly</x:v>
      </x:c>
      <x:c r="B12" s="141" t="str">
        <x:v>One row per line-month</x:v>
      </x:c>
      <x:c r="C12" s="141" t="str">
        <x:v>Month + Production_Line</x:v>
      </x:c>
      <x:c r="D12" s="141" t="str">
        <x:v>Output, yield, defect, rework and productivity</x:v>
      </x:c>
      <x:c r="E12" s="141" t="str">
        <x:v>Fact</x:v>
      </x:c>
    </x:row>
    <x:row r="13">
      <x:c r="A13" s="141" t="str">
        <x:v>Financial_Impact_Monthly</x:v>
      </x:c>
      <x:c r="B13" s="141" t="str">
        <x:v>One row per month</x:v>
      </x:c>
      <x:c r="C13" s="141" t="str">
        <x:v>Month</x:v>
      </x:c>
      <x:c r="D13" s="141" t="str">
        <x:v>Revenue, cost, profit and sale-risk recovery</x:v>
      </x:c>
      <x:c r="E13" s="141" t="str">
        <x:v>Fact</x:v>
      </x:c>
    </x:row>
    <x:row r="14">
      <x:c r="A14" s="141" t="str">
        <x:v>HR_Service_Tickets</x:v>
      </x:c>
      <x:c r="B14" s="141" t="str">
        <x:v>One row per HR ticket</x:v>
      </x:c>
      <x:c r="C14" s="141" t="str">
        <x:v>Ticket_ID</x:v>
      </x:c>
      <x:c r="D14" s="141" t="str">
        <x:v>SLA, cost and employee satisfaction</x:v>
      </x:c>
      <x:c r="E14" s="141" t="str">
        <x:v>Fact</x:v>
      </x:c>
    </x:row>
    <x:row r="15">
      <x:c r="A15" s="141" t="str">
        <x:v>Employee_Relations_Cases</x:v>
      </x:c>
      <x:c r="B15" s="141" t="str">
        <x:v>One row per ER case</x:v>
      </x:c>
      <x:c r="C15" s="141" t="str">
        <x:v>Case_ID</x:v>
      </x:c>
      <x:c r="D15" s="141" t="str">
        <x:v>Case volume, severity and closure SLA</x:v>
      </x:c>
      <x:c r="E15" s="141" t="str">
        <x:v>Fact</x:v>
      </x:c>
    </x:row>
    <x:row r="16">
      <x:c r="A16" s="141" t="str">
        <x:v>Technology_Adoption</x:v>
      </x:c>
      <x:c r="B16" s="141" t="str">
        <x:v>One row per month</x:v>
      </x:c>
      <x:c r="C16" s="141" t="str">
        <x:v>Month</x:v>
      </x:c>
      <x:c r="D16" s="141" t="str">
        <x:v>HRIS adoption, transactions and data quality</x:v>
      </x:c>
      <x:c r="E16" s="141" t="str">
        <x:v>Fact</x:v>
      </x:c>
    </x:row>
    <x:row r="17">
      <x:c r="A17" s="141" t="str">
        <x:v>Quarterly_Scorecard</x:v>
      </x:c>
      <x:c r="B17" s="141" t="str">
        <x:v>One row per KPI</x:v>
      </x:c>
      <x:c r="C17" s="141" t="str">
        <x:v>Metric</x:v>
      </x:c>
      <x:c r="D17" s="141" t="str">
        <x:v>Q1-Q4 executive transformation outcomes</x:v>
      </x:c>
      <x:c r="E17" s="141" t="str">
        <x:v>Summary</x:v>
      </x:c>
    </x:row>
    <x:row r="18">
      <x:c r="A18" s="141" t="str">
        <x:v>HR_Pillar_Scores</x:v>
      </x:c>
      <x:c r="B18" s="141" t="str">
        <x:v>One row per HR pillar</x:v>
      </x:c>
      <x:c r="C18" s="141" t="str">
        <x:v>Pillar</x:v>
      </x:c>
      <x:c r="D18" s="141" t="str">
        <x:v>Pillar maturity progression</x:v>
      </x:c>
      <x:c r="E18" s="141" t="str">
        <x:v>Summary</x:v>
      </x:c>
    </x:row>
  </x:sheetData>
  <x:mergeCells>
    <x:mergeCell ref="A1:E2"/>
    <x:mergeCell ref="A3:E3"/>
  </x:mergeCells>
  <x:pageMargins left="0.7" right="0.7" top="0.75" bottom="0.75" header="0.3" footer="0.3"/>
  <x:tableParts count="1">
    <x:tablePart xmlns:r="http://schemas.openxmlformats.org/officeDocument/2006/relationships" r:id="Rb6b87c874f1a40bb"/>
  </x:tableParts>
</x:worksheet>
</file>

<file path=xl/worksheets/sheet21.xml><?xml version="1.0" encoding="utf-8"?>
<x:worksheet xmlns:x="http://schemas.openxmlformats.org/spreadsheetml/2006/main">
  <x:sheetFormatPr defaultRowHeight="15"/>
  <x:cols>
    <x:col min="1" max="1" width="28" hidden="0" customWidth="1"/>
    <x:col min="2" max="2" width="38" hidden="0" customWidth="1"/>
    <x:col min="3" max="3" width="14" hidden="0" customWidth="1"/>
    <x:col min="4" max="4" width="30" hidden="0" customWidth="1"/>
    <x:col min="5" max="5" width="30" hidden="0" customWidth="1"/>
  </x:cols>
  <x:sheetData>
    <x:row r="1">
      <x:c r="A1" s="88" t="str">
        <x:v>Master Folder Connection Map</x:v>
      </x:c>
      <x:c r="B1" s="88"/>
      <x:c r="C1" s="88"/>
      <x:c r="D1" s="88"/>
      <x:c r="E1" s="88"/>
    </x:row>
    <x:row r="2">
      <x:c r="A2" s="88"/>
      <x:c r="B2" s="88"/>
      <x:c r="C2" s="88"/>
      <x:c r="D2" s="88"/>
      <x:c r="E2" s="88"/>
    </x:row>
    <x:row r="3">
      <x:c r="A3" s="13" t="str">
        <x:v>Relative paths keep the project portable. Use Power Query Folder connector on 06_Clean_Data.</x:v>
      </x:c>
      <x:c r="B3" s="13"/>
      <x:c r="C3" s="13"/>
      <x:c r="D3" s="13"/>
      <x:c r="E3" s="13"/>
    </x:row>
    <x:row r="5" ht="30" customHeight="1">
      <x:c r="A5" s="135" t="str">
        <x:v>Source_Table</x:v>
      </x:c>
      <x:c r="B5" s="135" t="str">
        <x:v>Relative_Path</x:v>
      </x:c>
      <x:c r="C5" s="135" t="str">
        <x:v>Row_Count</x:v>
      </x:c>
      <x:c r="D5" s="135" t="str">
        <x:v>Refresh_Method</x:v>
      </x:c>
      <x:c r="E5" s="135" t="str">
        <x:v>Master_Workbook_Use</x:v>
      </x:c>
    </x:row>
    <x:row r="6">
      <x:c r="A6" s="141" t="str">
        <x:v>company_entities</x:v>
      </x:c>
      <x:c r="B6" s="141" t="str">
        <x:v>../06_Clean_Data/company_entities.csv</x:v>
      </x:c>
      <x:c r="C6" s="141" t="n">
        <x:v>4</x:v>
      </x:c>
      <x:c r="D6" s="141" t="str">
        <x:v>Power Query Folder / Python / Power BI</x:v>
      </x:c>
      <x:c r="E6" s="141" t="str">
        <x:v>Imported as analysis-ready source</x:v>
      </x:c>
    </x:row>
    <x:row r="7">
      <x:c r="A7" s="141" t="str">
        <x:v>facilities</x:v>
      </x:c>
      <x:c r="B7" s="141" t="str">
        <x:v>../06_Clean_Data/facilities.csv</x:v>
      </x:c>
      <x:c r="C7" s="141" t="n">
        <x:v>4</x:v>
      </x:c>
      <x:c r="D7" s="141" t="str">
        <x:v>Power Query Folder / Python / Power BI</x:v>
      </x:c>
      <x:c r="E7" s="141" t="str">
        <x:v>Imported as analysis-ready source</x:v>
      </x:c>
    </x:row>
    <x:row r="8">
      <x:c r="A8" s="141" t="str">
        <x:v>departments</x:v>
      </x:c>
      <x:c r="B8" s="141" t="str">
        <x:v>../06_Clean_Data/departments.csv</x:v>
      </x:c>
      <x:c r="C8" s="141" t="n">
        <x:v>12</x:v>
      </x:c>
      <x:c r="D8" s="141" t="str">
        <x:v>Power Query Folder / Python / Power BI</x:v>
      </x:c>
      <x:c r="E8" s="141" t="str">
        <x:v>Imported as analysis-ready source</x:v>
      </x:c>
    </x:row>
    <x:row r="9">
      <x:c r="A9" s="141" t="str">
        <x:v>employee_master</x:v>
      </x:c>
      <x:c r="B9" s="141" t="str">
        <x:v>../06_Clean_Data/employee_master.csv</x:v>
      </x:c>
      <x:c r="C9" s="141" t="n">
        <x:v>170</x:v>
      </x:c>
      <x:c r="D9" s="141" t="str">
        <x:v>Power Query Folder / Python / Power BI</x:v>
      </x:c>
      <x:c r="E9" s="141" t="str">
        <x:v>Imported as analysis-ready source</x:v>
      </x:c>
    </x:row>
    <x:row r="10">
      <x:c r="A10" s="141" t="str">
        <x:v>layoff_and_restructuring</x:v>
      </x:c>
      <x:c r="B10" s="141" t="str">
        <x:v>../06_Clean_Data/layoff_and_restructuring.csv</x:v>
      </x:c>
      <x:c r="C10" s="141" t="n">
        <x:v>48</x:v>
      </x:c>
      <x:c r="D10" s="141" t="str">
        <x:v>Power Query Folder / Python / Power BI</x:v>
      </x:c>
      <x:c r="E10" s="141" t="str">
        <x:v>Imported as analysis-ready source</x:v>
      </x:c>
    </x:row>
    <x:row r="11">
      <x:c r="A11" s="141" t="str">
        <x:v>other_employee_exits</x:v>
      </x:c>
      <x:c r="B11" s="141" t="str">
        <x:v>../06_Clean_Data/other_employee_exits.csv</x:v>
      </x:c>
      <x:c r="C11" s="141" t="n">
        <x:v>8</x:v>
      </x:c>
      <x:c r="D11" s="141" t="str">
        <x:v>Power Query Folder / Python / Power BI</x:v>
      </x:c>
      <x:c r="E11" s="141" t="str">
        <x:v>Imported as analysis-ready source</x:v>
      </x:c>
    </x:row>
    <x:row r="12">
      <x:c r="A12" s="141" t="str">
        <x:v>recruitment_funnel</x:v>
      </x:c>
      <x:c r="B12" s="141" t="str">
        <x:v>../06_Clean_Data/recruitment_funnel.csv</x:v>
      </x:c>
      <x:c r="C12" s="141" t="n">
        <x:v>37</x:v>
      </x:c>
      <x:c r="D12" s="141" t="str">
        <x:v>Power Query Folder / Python / Power BI</x:v>
      </x:c>
      <x:c r="E12" s="141" t="str">
        <x:v>Imported as analysis-ready source</x:v>
      </x:c>
    </x:row>
    <x:row r="13">
      <x:c r="A13" s="141" t="str">
        <x:v>training_records</x:v>
      </x:c>
      <x:c r="B13" s="141" t="str">
        <x:v>../06_Clean_Data/training_records.csv</x:v>
      </x:c>
      <x:c r="C13" s="141" t="n">
        <x:v>191</x:v>
      </x:c>
      <x:c r="D13" s="141" t="str">
        <x:v>Power Query Folder / Python / Power BI</x:v>
      </x:c>
      <x:c r="E13" s="141" t="str">
        <x:v>Imported as analysis-ready source</x:v>
      </x:c>
    </x:row>
    <x:row r="14">
      <x:c r="A14" s="141" t="str">
        <x:v>performance_quarterly</x:v>
      </x:c>
      <x:c r="B14" s="141" t="str">
        <x:v>../06_Clean_Data/performance_quarterly.csv</x:v>
      </x:c>
      <x:c r="C14" s="141" t="n">
        <x:v>394</x:v>
      </x:c>
      <x:c r="D14" s="141" t="str">
        <x:v>Power Query Folder / Python / Power BI</x:v>
      </x:c>
      <x:c r="E14" s="141" t="str">
        <x:v>Imported as analysis-ready source</x:v>
      </x:c>
    </x:row>
    <x:row r="15">
      <x:c r="A15" s="141" t="str">
        <x:v>attendance_monthly</x:v>
      </x:c>
      <x:c r="B15" s="141" t="str">
        <x:v>../06_Clean_Data/attendance_monthly.csv</x:v>
      </x:c>
      <x:c r="C15" s="141" t="n">
        <x:v>141</x:v>
      </x:c>
      <x:c r="D15" s="141" t="str">
        <x:v>Power Query Folder / Python / Power BI</x:v>
      </x:c>
      <x:c r="E15" s="141" t="str">
        <x:v>Imported as analysis-ready source</x:v>
      </x:c>
    </x:row>
    <x:row r="16">
      <x:c r="A16" s="141" t="str">
        <x:v>production_monthly</x:v>
      </x:c>
      <x:c r="B16" s="141" t="str">
        <x:v>../06_Clean_Data/production_monthly.csv</x:v>
      </x:c>
      <x:c r="C16" s="141" t="n">
        <x:v>20</x:v>
      </x:c>
      <x:c r="D16" s="141" t="str">
        <x:v>Power Query Folder / Python / Power BI</x:v>
      </x:c>
      <x:c r="E16" s="141" t="str">
        <x:v>Imported as analysis-ready source</x:v>
      </x:c>
    </x:row>
    <x:row r="17">
      <x:c r="A17" s="141" t="str">
        <x:v>financial_impact_monthly</x:v>
      </x:c>
      <x:c r="B17" s="141" t="str">
        <x:v>../06_Clean_Data/financial_impact_monthly.csv</x:v>
      </x:c>
      <x:c r="C17" s="141" t="n">
        <x:v>12</x:v>
      </x:c>
      <x:c r="D17" s="141" t="str">
        <x:v>Power Query Folder / Python / Power BI</x:v>
      </x:c>
      <x:c r="E17" s="141" t="str">
        <x:v>Imported as analysis-ready source</x:v>
      </x:c>
    </x:row>
    <x:row r="18">
      <x:c r="A18" s="141" t="str">
        <x:v>pilot_participants</x:v>
      </x:c>
      <x:c r="B18" s="141" t="str">
        <x:v>../06_Clean_Data/pilot_participants.csv</x:v>
      </x:c>
      <x:c r="C18" s="141" t="n">
        <x:v>25</x:v>
      </x:c>
      <x:c r="D18" s="141" t="str">
        <x:v>Power Query Folder / Python / Power BI</x:v>
      </x:c>
      <x:c r="E18" s="141" t="str">
        <x:v>Imported as analysis-ready source</x:v>
      </x:c>
    </x:row>
    <x:row r="19">
      <x:c r="A19" s="141" t="str">
        <x:v>pilot_results</x:v>
      </x:c>
      <x:c r="B19" s="141" t="str">
        <x:v>../06_Clean_Data/pilot_results.csv</x:v>
      </x:c>
      <x:c r="C19" s="141" t="n">
        <x:v>8</x:v>
      </x:c>
      <x:c r="D19" s="141" t="str">
        <x:v>Power Query Folder / Python / Power BI</x:v>
      </x:c>
      <x:c r="E19" s="141" t="str">
        <x:v>Imported as analysis-ready source</x:v>
      </x:c>
    </x:row>
    <x:row r="20">
      <x:c r="A20" s="141" t="str">
        <x:v>hr_service_tickets</x:v>
      </x:c>
      <x:c r="B20" s="141" t="str">
        <x:v>../06_Clean_Data/hr_service_tickets.csv</x:v>
      </x:c>
      <x:c r="C20" s="141" t="n">
        <x:v>374</x:v>
      </x:c>
      <x:c r="D20" s="141" t="str">
        <x:v>Power Query Folder / Python / Power BI</x:v>
      </x:c>
      <x:c r="E20" s="141" t="str">
        <x:v>Imported as analysis-ready source</x:v>
      </x:c>
    </x:row>
    <x:row r="21">
      <x:c r="A21" s="141" t="str">
        <x:v>employee_relations_cases</x:v>
      </x:c>
      <x:c r="B21" s="141" t="str">
        <x:v>../06_Clean_Data/employee_relations_cases.csv</x:v>
      </x:c>
      <x:c r="C21" s="141" t="n">
        <x:v>55</x:v>
      </x:c>
      <x:c r="D21" s="141" t="str">
        <x:v>Power Query Folder / Python / Power BI</x:v>
      </x:c>
      <x:c r="E21" s="141" t="str">
        <x:v>Imported as analysis-ready source</x:v>
      </x:c>
    </x:row>
    <x:row r="22">
      <x:c r="A22" s="141" t="str">
        <x:v>rewards_and_recognition</x:v>
      </x:c>
      <x:c r="B22" s="141" t="str">
        <x:v>../06_Clean_Data/rewards_and_recognition.csv</x:v>
      </x:c>
      <x:c r="C22" s="141" t="n">
        <x:v>75</x:v>
      </x:c>
      <x:c r="D22" s="141" t="str">
        <x:v>Power Query Folder / Python / Power BI</x:v>
      </x:c>
      <x:c r="E22" s="141" t="str">
        <x:v>Imported as analysis-ready source</x:v>
      </x:c>
    </x:row>
    <x:row r="23">
      <x:c r="A23" s="141" t="str">
        <x:v>technology_adoption</x:v>
      </x:c>
      <x:c r="B23" s="141" t="str">
        <x:v>../06_Clean_Data/technology_adoption.csv</x:v>
      </x:c>
      <x:c r="C23" s="141" t="n">
        <x:v>12</x:v>
      </x:c>
      <x:c r="D23" s="141" t="str">
        <x:v>Power Query Folder / Python / Power BI</x:v>
      </x:c>
      <x:c r="E23" s="141" t="str">
        <x:v>Imported as analysis-ready source</x:v>
      </x:c>
    </x:row>
    <x:row r="24">
      <x:c r="A24" s="141" t="str">
        <x:v>hr_pillars</x:v>
      </x:c>
      <x:c r="B24" s="141" t="str">
        <x:v>../06_Clean_Data/hr_pillars.csv</x:v>
      </x:c>
      <x:c r="C24" s="141" t="n">
        <x:v>13</x:v>
      </x:c>
      <x:c r="D24" s="141" t="str">
        <x:v>Power Query Folder / Python / Power BI</x:v>
      </x:c>
      <x:c r="E24" s="141" t="str">
        <x:v>Imported as analysis-ready source</x:v>
      </x:c>
    </x:row>
    <x:row r="25">
      <x:c r="A25" s="141" t="str">
        <x:v>quarterly_roadmap</x:v>
      </x:c>
      <x:c r="B25" s="141" t="str">
        <x:v>../06_Clean_Data/quarterly_roadmap.csv</x:v>
      </x:c>
      <x:c r="C25" s="141" t="n">
        <x:v>4</x:v>
      </x:c>
      <x:c r="D25" s="141" t="str">
        <x:v>Power Query Folder / Python / Power BI</x:v>
      </x:c>
      <x:c r="E25" s="141" t="str">
        <x:v>Imported as analysis-ready source</x:v>
      </x:c>
    </x:row>
    <x:row r="26">
      <x:c r="A26" s="141" t="str">
        <x:v>quarterly_scorecard</x:v>
      </x:c>
      <x:c r="B26" s="141" t="str">
        <x:v>../06_Clean_Data/quarterly_scorecard.csv</x:v>
      </x:c>
      <x:c r="C26" s="141" t="n">
        <x:v>18</x:v>
      </x:c>
      <x:c r="D26" s="141" t="str">
        <x:v>Power Query Folder / Python / Power BI</x:v>
      </x:c>
      <x:c r="E26" s="141" t="str">
        <x:v>Imported as analysis-ready source</x:v>
      </x:c>
    </x:row>
    <x:row r="27">
      <x:c r="A27" s="141" t="str">
        <x:v>hr_pillar_scores</x:v>
      </x:c>
      <x:c r="B27" s="141" t="str">
        <x:v>../06_Clean_Data/hr_pillar_scores.csv</x:v>
      </x:c>
      <x:c r="C27" s="141" t="n">
        <x:v>12</x:v>
      </x:c>
      <x:c r="D27" s="141" t="str">
        <x:v>Power Query Folder / Python / Power BI</x:v>
      </x:c>
      <x:c r="E27" s="141" t="str">
        <x:v>Imported as analysis-ready source</x:v>
      </x:c>
    </x:row>
    <x:row r="28">
      <x:c r="A28" s="141" t="str">
        <x:v>feasibility_findings</x:v>
      </x:c>
      <x:c r="B28" s="141" t="str">
        <x:v>../06_Clean_Data/feasibility_findings.csv</x:v>
      </x:c>
      <x:c r="C28" s="141" t="n">
        <x:v>6</x:v>
      </x:c>
      <x:c r="D28" s="141" t="str">
        <x:v>Power Query Folder / Python / Power BI</x:v>
      </x:c>
      <x:c r="E28" s="141" t="str">
        <x:v>Imported as analysis-ready source</x:v>
      </x:c>
    </x:row>
    <x:row r="29">
      <x:c r="A29" s="141" t="str">
        <x:v>workforce_scenarios</x:v>
      </x:c>
      <x:c r="B29" s="141" t="str">
        <x:v>../06_Clean_Data/workforce_scenarios.csv</x:v>
      </x:c>
      <x:c r="C29" s="141" t="n">
        <x:v>4</x:v>
      </x:c>
      <x:c r="D29" s="141" t="str">
        <x:v>Power Query Folder / Python / Power BI</x:v>
      </x:c>
      <x:c r="E29" s="141" t="str">
        <x:v>Imported as analysis-ready source</x:v>
      </x:c>
    </x:row>
    <x:row r="30">
      <x:c r="A30" s="141" t="str">
        <x:v>risk_register</x:v>
      </x:c>
      <x:c r="B30" s="141" t="str">
        <x:v>../06_Clean_Data/risk_register.csv</x:v>
      </x:c>
      <x:c r="C30" s="141" t="n">
        <x:v>7</x:v>
      </x:c>
      <x:c r="D30" s="141" t="str">
        <x:v>Power Query Folder / Python / Power BI</x:v>
      </x:c>
      <x:c r="E30" s="141" t="str">
        <x:v>Imported as analysis-ready source</x:v>
      </x:c>
    </x:row>
    <x:row r="31">
      <x:c r="A31" s="141" t="str">
        <x:v>quarterly_action_tracker</x:v>
      </x:c>
      <x:c r="B31" s="141" t="str">
        <x:v>../06_Clean_Data/quarterly_action_tracker.csv</x:v>
      </x:c>
      <x:c r="C31" s="141" t="n">
        <x:v>24</x:v>
      </x:c>
      <x:c r="D31" s="141" t="str">
        <x:v>Power Query Folder / Python / Power BI</x:v>
      </x:c>
      <x:c r="E31" s="141" t="str">
        <x:v>Imported as analysis-ready source</x:v>
      </x:c>
    </x:row>
    <x:row r="32">
      <x:c r="A32" s="141" t="str">
        <x:v>data_dictionary</x:v>
      </x:c>
      <x:c r="B32" s="141" t="str">
        <x:v>../06_Clean_Data/data_dictionary.csv</x:v>
      </x:c>
      <x:c r="C32" s="141" t="n">
        <x:v>13</x:v>
      </x:c>
      <x:c r="D32" s="141" t="str">
        <x:v>Power Query Folder / Python / Power BI</x:v>
      </x:c>
      <x:c r="E32" s="141" t="str">
        <x:v>Imported as analysis-ready source</x:v>
      </x:c>
    </x:row>
    <x:row r="33">
      <x:c r="A33" s="141" t="str">
        <x:v>Raw Employee</x:v>
      </x:c>
      <x:c r="B33" s="141" t="str">
        <x:v>../05_Raw_Data/raw_employee_master_messy.csv</x:v>
      </x:c>
      <x:c r="C33" s="141" t="n">
        <x:v>171</x:v>
      </x:c>
      <x:c r="D33" s="141" t="str">
        <x:v>Python cleaning practice</x:v>
      </x:c>
      <x:c r="E33" s="141" t="str">
        <x:v>Do not report directly</x:v>
      </x:c>
    </x:row>
    <x:row r="34">
      <x:c r="A34" s="141" t="str">
        <x:v>Raw Training</x:v>
      </x:c>
      <x:c r="B34" s="141" t="str">
        <x:v>../05_Raw_Data/raw_training_records_messy.csv</x:v>
      </x:c>
      <x:c r="C34" s="141" t="n">
        <x:v>194</x:v>
      </x:c>
      <x:c r="D34" s="141" t="str">
        <x:v>Python cleaning practice</x:v>
      </x:c>
      <x:c r="E34" s="141" t="str">
        <x:v>Do not report directly</x:v>
      </x:c>
    </x:row>
    <x:row r="35">
      <x:c r="A35" s="141" t="str">
        <x:v>Raw Production</x:v>
      </x:c>
      <x:c r="B35" s="141" t="str">
        <x:v>../05_Raw_Data/raw_production_metrics_messy.csv</x:v>
      </x:c>
      <x:c r="C35" s="141" t="n">
        <x:v>20</x:v>
      </x:c>
      <x:c r="D35" s="141" t="str">
        <x:v>Python cleaning practice</x:v>
      </x:c>
      <x:c r="E35" s="141" t="str">
        <x:v>Do not report directly</x:v>
      </x:c>
    </x:row>
  </x:sheetData>
  <x:mergeCells>
    <x:mergeCell ref="A1:E2"/>
    <x:mergeCell ref="A3:E3"/>
  </x:mergeCells>
  <x:pageMargins left="0.7" right="0.7" top="0.75" bottom="0.75" header="0.3" footer="0.3"/>
  <x:tableParts count="1">
    <x:tablePart xmlns:r="http://schemas.openxmlformats.org/officeDocument/2006/relationships" r:id="R0b617e2b7ac34536"/>
  </x:tableParts>
</x:worksheet>
</file>

<file path=xl/worksheets/sheet22.xml><?xml version="1.0" encoding="utf-8"?>
<x:worksheet xmlns:x="http://schemas.openxmlformats.org/spreadsheetml/2006/main">
  <x:sheetFormatPr defaultRowHeight="15"/>
  <x:cols>
    <x:col min="1" max="1" width="24" hidden="0" customWidth="1"/>
    <x:col min="2" max="2" width="24" hidden="0" customWidth="1"/>
    <x:col min="3" max="3" width="12" hidden="0" customWidth="1"/>
    <x:col min="4" max="4" width="34" hidden="0" customWidth="1"/>
    <x:col min="5" max="5" width="15" hidden="0" customWidth="1"/>
    <x:col min="6" max="6" width="15" hidden="0" customWidth="1"/>
    <x:col min="7" max="7" width="20" hidden="0" customWidth="1"/>
    <x:col min="8" max="8" width="12" hidden="0" customWidth="1"/>
    <x:col min="9" max="9" width="15" hidden="0" customWidth="1"/>
    <x:col min="10" max="10" width="15" hidden="0" customWidth="1"/>
  </x:cols>
  <x:sheetData>
    <x:row r="1">
      <x:c r="A1" s="183" t="str">
        <x:v>DATABASE, SQL CLEANING AND BI CONNECTION LAB</x:v>
      </x:c>
      <x:c r="B1" s="183"/>
      <x:c r="C1" s="183"/>
      <x:c r="D1" s="183"/>
      <x:c r="E1" s="183"/>
      <x:c r="F1" s="183"/>
      <x:c r="G1" s="183"/>
      <x:c r="H1" s="183"/>
      <x:c r="I1" s="183"/>
      <x:c r="J1" s="183"/>
    </x:row>
    <x:row r="2">
      <x:c r="A2" s="183"/>
      <x:c r="B2" s="183"/>
      <x:c r="C2" s="183"/>
      <x:c r="D2" s="183"/>
      <x:c r="E2" s="183"/>
      <x:c r="F2" s="183"/>
      <x:c r="G2" s="183"/>
      <x:c r="H2" s="183"/>
      <x:c r="I2" s="183"/>
      <x:c r="J2" s="183"/>
    </x:row>
    <x:row r="3">
      <x:c r="A3" s="187" t="str">
        <x:v>Ready SQLite database, raw staging tables, SQL-cleaned views, data-quality audit, HRBP query library and Power BI reporting views.</x:v>
      </x:c>
      <x:c r="B3" s="187"/>
      <x:c r="C3" s="187"/>
      <x:c r="D3" s="187"/>
      <x:c r="E3" s="187"/>
      <x:c r="F3" s="187"/>
      <x:c r="G3" s="187"/>
      <x:c r="H3" s="187"/>
      <x:c r="I3" s="187"/>
      <x:c r="J3" s="187"/>
    </x:row>
    <x:row r="4">
      <x:c r="A4" s="187"/>
      <x:c r="B4" s="187"/>
      <x:c r="C4" s="187"/>
      <x:c r="D4" s="187"/>
      <x:c r="E4" s="187"/>
      <x:c r="F4" s="187"/>
      <x:c r="G4" s="187"/>
      <x:c r="H4" s="187"/>
      <x:c r="I4" s="187"/>
      <x:c r="J4" s="187"/>
    </x:row>
    <x:row r="6">
      <x:c r="A6" s="191" t="str">
        <x:v>DATABASE TABLES</x:v>
      </x:c>
      <x:c r="B6" s="191"/>
      <x:c r="C6" s="191"/>
      <x:c r="D6" s="201" t="str">
        <x:v>SQL VIEWS</x:v>
      </x:c>
      <x:c r="E6" s="201"/>
      <x:c r="F6" s="201"/>
      <x:c r="G6" s="205" t="str">
        <x:v>RAW QUALITY ISSUES</x:v>
      </x:c>
      <x:c r="H6" s="205"/>
      <x:c r="I6" s="208" t="str">
        <x:v>Q4 HEADCOUNT</x:v>
      </x:c>
      <x:c r="J6" s="208"/>
    </x:row>
    <x:row r="7">
      <x:c r="A7" s="191"/>
      <x:c r="B7" s="191"/>
      <x:c r="C7" s="191"/>
      <x:c r="D7" s="201"/>
      <x:c r="E7" s="201"/>
      <x:c r="F7" s="201"/>
      <x:c r="G7" s="205"/>
      <x:c r="H7" s="205"/>
      <x:c r="I7" s="208"/>
      <x:c r="J7" s="208"/>
    </x:row>
    <x:row r="8">
      <x:c r="A8" s="197" t="n">
        <x:v>33</x:v>
      </x:c>
      <x:c r="B8" s="197"/>
      <x:c r="C8" s="197"/>
      <x:c r="D8" s="197" t="n">
        <x:v>15</x:v>
      </x:c>
      <x:c r="E8" s="197"/>
      <x:c r="F8" s="197"/>
      <x:c r="G8" s="197" t="n">
        <x:v>37</x:v>
      </x:c>
      <x:c r="H8" s="197"/>
      <x:c r="I8" s="197" t="n">
        <x:v>114</x:v>
      </x:c>
      <x:c r="J8" s="197"/>
    </x:row>
    <x:row r="9">
      <x:c r="A9" s="197"/>
      <x:c r="B9" s="197"/>
      <x:c r="C9" s="197"/>
      <x:c r="D9" s="197"/>
      <x:c r="E9" s="197"/>
      <x:c r="F9" s="197"/>
      <x:c r="G9" s="197"/>
      <x:c r="H9" s="197"/>
      <x:c r="I9" s="197"/>
      <x:c r="J9" s="197"/>
    </x:row>
    <x:row r="11">
      <x:c r="A11" s="209" t="str">
        <x:v>READY DATABASE</x:v>
      </x:c>
      <x:c r="B11" s="209"/>
      <x:c r="C11" s="209"/>
      <x:c r="D11" s="215" t="str">
        <x:v>BI-READY VIEWS</x:v>
      </x:c>
      <x:c r="E11" s="215"/>
      <x:c r="F11" s="215"/>
      <x:c r="G11" s="215"/>
      <x:c r="H11" s="215"/>
      <x:c r="I11" s="215"/>
      <x:c r="J11" s="215"/>
    </x:row>
    <x:row r="12">
      <x:c r="A12" s="212" t="str">
        <x:v>Database file</x:v>
      </x:c>
      <x:c r="B12" s="214" t="str">
        <x:v>../13_Database_SQL/Sabia_Group_HRBP_Analytics.sqlite</x:v>
      </x:c>
      <x:c r="D12" s="217" t="str">
        <x:v>View</x:v>
      </x:c>
      <x:c r="E12" s="217" t="str">
        <x:v>Primary use</x:v>
      </x:c>
      <x:c r="F12" s="217" t="str"/>
      <x:c r="G12" s="217" t="str"/>
      <x:c r="H12" s="217" t="str"/>
      <x:c r="I12" s="217" t="str"/>
      <x:c r="J12" s="217" t="str"/>
    </x:row>
    <x:row r="13">
      <x:c r="A13" s="212" t="str">
        <x:v>Rebuild script</x:v>
      </x:c>
      <x:c r="B13" s="214" t="str">
        <x:v>../13_Database_SQL/00_build_database.py</x:v>
      </x:c>
      <x:c r="D13" s="214" t="str">
        <x:v>vw_bi_quarterly_business_summary</x:v>
      </x:c>
      <x:c r="E13" s="214" t="str">
        <x:v>Quarterly people, production, quality and profit</x:v>
      </x:c>
      <x:c r="F13" s="214" t="str"/>
      <x:c r="G13" s="214" t="str"/>
      <x:c r="H13" s="214" t="str"/>
      <x:c r="I13" s="214" t="str"/>
      <x:c r="J13" s="214" t="str"/>
    </x:row>
    <x:row r="14">
      <x:c r="A14" s="212" t="str">
        <x:v>SQL cleaning views</x:v>
      </x:c>
      <x:c r="B14" s="214" t="str">
        <x:v>../13_Database_SQL/01_schema_and_cleaning_views.sql</x:v>
      </x:c>
      <x:c r="D14" s="214" t="str">
        <x:v>vw_bi_production_finance_monthly</x:v>
      </x:c>
      <x:c r="E14" s="214" t="str">
        <x:v>Monthly production-finance-technology trend</x:v>
      </x:c>
      <x:c r="F14" s="214" t="str"/>
      <x:c r="G14" s="214" t="str"/>
      <x:c r="H14" s="214" t="str"/>
      <x:c r="I14" s="214" t="str"/>
      <x:c r="J14" s="214" t="str"/>
    </x:row>
    <x:row r="15">
      <x:c r="A15" s="212" t="str">
        <x:v>Data cleaning queries</x:v>
      </x:c>
      <x:c r="B15" s="214" t="str">
        <x:v>../13_Database_SQL/02_data_cleaning_queries.sql</x:v>
      </x:c>
      <x:c r="D15" s="214" t="str">
        <x:v>vw_bi_workforce_bridge</x:v>
      </x:c>
      <x:c r="E15" s="214" t="str">
        <x:v>Q1–Q4 active headcount</x:v>
      </x:c>
      <x:c r="F15" s="214" t="str"/>
      <x:c r="G15" s="214" t="str"/>
      <x:c r="H15" s="214" t="str"/>
      <x:c r="I15" s="214" t="str"/>
      <x:c r="J15" s="214" t="str"/>
    </x:row>
    <x:row r="16">
      <x:c r="A16" s="212" t="str">
        <x:v>Data-quality audit</x:v>
      </x:c>
      <x:c r="B16" s="214" t="str">
        <x:v>../13_Database_SQL/03_data_quality_audit.sql</x:v>
      </x:c>
      <x:c r="D16" s="214" t="str">
        <x:v>vw_bi_kpi_scorecard_long</x:v>
      </x:c>
      <x:c r="E16" s="214" t="str">
        <x:v>Long-format KPI charts and slicers</x:v>
      </x:c>
      <x:c r="F16" s="214" t="str"/>
      <x:c r="G16" s="214" t="str"/>
      <x:c r="H16" s="214" t="str"/>
      <x:c r="I16" s="214" t="str"/>
      <x:c r="J16" s="214" t="str"/>
    </x:row>
    <x:row r="17">
      <x:c r="A17" s="212" t="str">
        <x:v>HRBP query library</x:v>
      </x:c>
      <x:c r="B17" s="214" t="str">
        <x:v>../13_Database_SQL/04_hrbp_analytics_queries.sql</x:v>
      </x:c>
      <x:c r="D17" s="214" t="str">
        <x:v>vw_bi_pillar_maturity_long</x:v>
      </x:c>
      <x:c r="E17" s="214" t="str">
        <x:v>HR pillar progression</x:v>
      </x:c>
      <x:c r="F17" s="214" t="str"/>
      <x:c r="G17" s="214" t="str"/>
      <x:c r="H17" s="214" t="str"/>
      <x:c r="I17" s="214" t="str"/>
      <x:c r="J17" s="214" t="str"/>
    </x:row>
    <x:row r="18">
      <x:c r="A18" s="212" t="str">
        <x:v>Power BI reporting views</x:v>
      </x:c>
      <x:c r="B18" s="214" t="str">
        <x:v>../13_Database_SQL/05_powerbi_reporting_views.sql</x:v>
      </x:c>
      <x:c r="D18" s="214" t="str">
        <x:v>vw_bi_recruitment_quarterly</x:v>
      </x:c>
      <x:c r="E18" s="214" t="str">
        <x:v>Recruitment funnel and speed</x:v>
      </x:c>
      <x:c r="F18" s="214" t="str"/>
      <x:c r="G18" s="214" t="str"/>
      <x:c r="H18" s="214" t="str"/>
      <x:c r="I18" s="214" t="str"/>
      <x:c r="J18" s="214" t="str"/>
    </x:row>
    <x:row r="19">
      <x:c r="A19" s="212" t="str">
        <x:v>Q1–Q4 business queries</x:v>
      </x:c>
      <x:c r="B19" s="214" t="str">
        <x:v>../13_Database_SQL/06_q1_q4_business_queries.sql</x:v>
      </x:c>
      <x:c r="D19" s="214" t="str">
        <x:v>vw_bi_training_quarterly</x:v>
      </x:c>
      <x:c r="E19" s="214" t="str">
        <x:v>Learning and certification</x:v>
      </x:c>
      <x:c r="F19" s="214" t="str"/>
      <x:c r="G19" s="214" t="str"/>
      <x:c r="H19" s="214" t="str"/>
      <x:c r="I19" s="214" t="str"/>
      <x:c r="J19" s="214" t="str"/>
    </x:row>
    <x:row r="20">
      <x:c r="D20" s="214" t="str">
        <x:v>vw_bi_department_people_summary</x:v>
      </x:c>
      <x:c r="E20" s="214" t="str">
        <x:v>Department people and workload risk</x:v>
      </x:c>
      <x:c r="F20" s="214" t="str"/>
      <x:c r="G20" s="214" t="str"/>
      <x:c r="H20" s="214" t="str"/>
      <x:c r="I20" s="214" t="str"/>
      <x:c r="J20" s="214" t="str"/>
    </x:row>
    <x:row r="22">
      <x:c r="A22" s="218" t="str">
        <x:v>CONNECTION ROUTES</x:v>
      </x:c>
      <x:c r="B22" s="218"/>
      <x:c r="C22" s="218"/>
      <x:c r="D22" s="218"/>
      <x:c r="E22" s="218"/>
      <x:c r="F22" s="218"/>
      <x:c r="G22" s="218"/>
      <x:c r="H22" s="218"/>
      <x:c r="I22" s="218"/>
      <x:c r="J22" s="218"/>
    </x:row>
    <x:row r="23">
      <x:c r="A23" s="221" t="str">
        <x:v>Software</x:v>
      </x:c>
      <x:c r="B23" s="221" t="str">
        <x:v>Recommended route</x:v>
      </x:c>
      <x:c r="C23" s="221" t="str">
        <x:v>Project asset</x:v>
      </x:c>
      <x:c r="D23" s="221" t="str"/>
      <x:c r="E23" s="221" t="str"/>
      <x:c r="F23" s="221" t="str"/>
      <x:c r="G23" s="221" t="str"/>
      <x:c r="H23" s="221" t="str"/>
      <x:c r="I23" s="221" t="str"/>
      <x:c r="J23" s="221" t="str"/>
    </x:row>
    <x:row r="24">
      <x:c r="A24" s="222" t="str">
        <x:v>DB Browser / DBeaver</x:v>
      </x:c>
      <x:c r="B24" s="222" t="str">
        <x:v>Open the SQLite file and execute the numbered SQL scripts</x:v>
      </x:c>
      <x:c r="C24" s="222" t="str">
        <x:v>13_Database_SQL</x:v>
      </x:c>
      <x:c r="D24" s="222" t="str"/>
      <x:c r="E24" s="222" t="str"/>
      <x:c r="F24" s="222" t="str"/>
      <x:c r="G24" s="222" t="str"/>
      <x:c r="H24" s="222" t="str"/>
      <x:c r="I24" s="222" t="str"/>
      <x:c r="J24" s="222" t="str"/>
    </x:row>
    <x:row r="25">
      <x:c r="A25" s="222" t="str">
        <x:v>Power BI</x:v>
      </x:c>
      <x:c r="B25" s="222" t="str">
        <x:v>Folder connector, ODBC to SQLite, or Python data source</x:v>
      </x:c>
      <x:c r="C25" s="222" t="str">
        <x:v>08_PowerBI/POWER_BI_AND_OTHER_BI_USAGE_GUIDE.md</x:v>
      </x:c>
      <x:c r="D25" s="222" t="str"/>
      <x:c r="E25" s="222" t="str"/>
      <x:c r="F25" s="222" t="str"/>
      <x:c r="G25" s="222" t="str"/>
      <x:c r="H25" s="222" t="str"/>
      <x:c r="I25" s="222" t="str"/>
      <x:c r="J25" s="222" t="str"/>
    </x:row>
    <x:row r="26">
      <x:c r="A26" s="222" t="str">
        <x:v>Excel Power Query</x:v>
      </x:c>
      <x:c r="B26" s="222" t="str">
        <x:v>Folder connector or configured ODBC DSN</x:v>
      </x:c>
      <x:c r="C26" s="222" t="str">
        <x:v>00_Master/MASTER_CONNECTION_GUIDE.md</x:v>
      </x:c>
      <x:c r="D26" s="222" t="str"/>
      <x:c r="E26" s="222" t="str"/>
      <x:c r="F26" s="222" t="str"/>
      <x:c r="G26" s="222" t="str"/>
      <x:c r="H26" s="222" t="str"/>
      <x:c r="I26" s="222" t="str"/>
      <x:c r="J26" s="222" t="str"/>
    </x:row>
    <x:row r="27">
      <x:c r="A27" s="222" t="str">
        <x:v>Python / Jupyter</x:v>
      </x:c>
      <x:c r="B27" s="222" t="str">
        <x:v>sqlite3 + pandas query workflow</x:v>
      </x:c>
      <x:c r="C27" s="222" t="str">
        <x:v>07_Python/query_sqlite_database.py</x:v>
      </x:c>
      <x:c r="D27" s="222" t="str"/>
      <x:c r="E27" s="222" t="str"/>
      <x:c r="F27" s="222" t="str"/>
      <x:c r="G27" s="222" t="str"/>
      <x:c r="H27" s="222" t="str"/>
      <x:c r="I27" s="222" t="str"/>
      <x:c r="J27" s="222" t="str"/>
    </x:row>
    <x:row r="28">
      <x:c r="A28" s="222" t="str">
        <x:v>Looker Studio</x:v>
      </x:c>
      <x:c r="B28" s="222" t="str">
        <x:v>Export BI views to CSV/Google Sheets or migrate to PostgreSQL/MySQL</x:v>
      </x:c>
      <x:c r="C28" s="222" t="str">
        <x:v>13_Database_SQL/sample_query_results</x:v>
      </x:c>
      <x:c r="D28" s="222" t="str"/>
      <x:c r="E28" s="222" t="str"/>
      <x:c r="F28" s="222" t="str"/>
      <x:c r="G28" s="222" t="str"/>
      <x:c r="H28" s="222" t="str"/>
      <x:c r="I28" s="222" t="str"/>
      <x:c r="J28" s="222" t="str"/>
    </x:row>
    <x:row r="30">
      <x:c r="A30" s="223" t="str">
        <x:v>OFFICIAL CONNECTOR REFERENCES</x:v>
      </x:c>
      <x:c r="B30" s="223"/>
      <x:c r="C30" s="223"/>
      <x:c r="D30" s="223"/>
      <x:c r="E30" s="223"/>
      <x:c r="F30" s="223"/>
      <x:c r="G30" s="223"/>
      <x:c r="H30" s="223"/>
      <x:c r="I30" s="223"/>
      <x:c r="J30" s="223"/>
    </x:row>
    <x:row r="31">
      <x:c r="A31" s="225" t="str">
        <x:v>Power Query Folder connector</x:v>
      </x:c>
      <x:c r="B31" s="228" t="str">
        <x:v>https://learn.microsoft.com/en-us/power-query/connectors/folder</x:v>
      </x:c>
      <x:c r="C31" s="228" t="str"/>
      <x:c r="D31" s="228" t="str"/>
      <x:c r="E31" s="228" t="str"/>
      <x:c r="F31" s="228" t="str"/>
      <x:c r="G31" s="228" t="str"/>
      <x:c r="H31" s="228" t="str"/>
      <x:c r="I31" s="228" t="str"/>
      <x:c r="J31" s="228" t="str"/>
    </x:row>
    <x:row r="32">
      <x:c r="A32" s="225" t="str">
        <x:v>Power Query ODBC connector</x:v>
      </x:c>
      <x:c r="B32" s="228" t="str">
        <x:v>https://learn.microsoft.com/en-us/power-query/connectors/odbc</x:v>
      </x:c>
      <x:c r="C32" s="228" t="str"/>
      <x:c r="D32" s="228" t="str"/>
      <x:c r="E32" s="228" t="str"/>
      <x:c r="F32" s="228" t="str"/>
      <x:c r="G32" s="228" t="str"/>
      <x:c r="H32" s="228" t="str"/>
      <x:c r="I32" s="228" t="str"/>
      <x:c r="J32" s="228" t="str"/>
    </x:row>
    <x:row r="33">
      <x:c r="A33" s="225" t="str">
        <x:v>Python scripts in Power BI Desktop</x:v>
      </x:c>
      <x:c r="B33" s="228" t="str">
        <x:v>https://learn.microsoft.com/en-us/power-bi/connect-data/desktop-python-scripts</x:v>
      </x:c>
      <x:c r="C33" s="228" t="str"/>
      <x:c r="D33" s="228" t="str"/>
      <x:c r="E33" s="228" t="str"/>
      <x:c r="F33" s="228" t="str"/>
      <x:c r="G33" s="228" t="str"/>
      <x:c r="H33" s="228" t="str"/>
      <x:c r="I33" s="228" t="str"/>
      <x:c r="J33" s="228" t="str"/>
    </x:row>
    <x:row r="34">
      <x:c r="A34" s="225" t="str">
        <x:v>Looker Studio documentation</x:v>
      </x:c>
      <x:c r="B34" s="228" t="str">
        <x:v>https://cloud.google.com/looker/docs/studio</x:v>
      </x:c>
      <x:c r="C34" s="228" t="str"/>
      <x:c r="D34" s="228" t="str"/>
      <x:c r="E34" s="228" t="str"/>
      <x:c r="F34" s="228" t="str"/>
      <x:c r="G34" s="228" t="str"/>
      <x:c r="H34" s="228" t="str"/>
      <x:c r="I34" s="228" t="str"/>
      <x:c r="J34" s="228" t="str"/>
    </x:row>
  </x:sheetData>
  <x:mergeCells>
    <x:mergeCell ref="A1:J2"/>
    <x:mergeCell ref="A3:J4"/>
    <x:mergeCell ref="A6:C7"/>
    <x:mergeCell ref="A8:C9"/>
    <x:mergeCell ref="D6:F7"/>
    <x:mergeCell ref="D8:F9"/>
    <x:mergeCell ref="G6:H7"/>
    <x:mergeCell ref="G8:H9"/>
    <x:mergeCell ref="I6:J7"/>
    <x:mergeCell ref="I8:J9"/>
    <x:mergeCell ref="A11:J11"/>
    <x:mergeCell ref="D11:J11"/>
    <x:mergeCell ref="E12:J12"/>
    <x:mergeCell ref="E13:J13"/>
    <x:mergeCell ref="E14:J14"/>
    <x:mergeCell ref="E15:J15"/>
    <x:mergeCell ref="E16:J16"/>
    <x:mergeCell ref="E17:J17"/>
    <x:mergeCell ref="E18:J18"/>
    <x:mergeCell ref="E19:J19"/>
    <x:mergeCell ref="E20:J20"/>
    <x:mergeCell ref="A22:J22"/>
    <x:mergeCell ref="B23:F23"/>
    <x:mergeCell ref="G23:J23"/>
    <x:mergeCell ref="B24:F24"/>
    <x:mergeCell ref="G24:J24"/>
    <x:mergeCell ref="B25:F25"/>
    <x:mergeCell ref="G25:J25"/>
    <x:mergeCell ref="B26:F26"/>
    <x:mergeCell ref="G26:J26"/>
    <x:mergeCell ref="B27:F27"/>
    <x:mergeCell ref="G27:J27"/>
    <x:mergeCell ref="B28:F28"/>
    <x:mergeCell ref="G28:J28"/>
    <x:mergeCell ref="A30:J30"/>
    <x:mergeCell ref="B31:J31"/>
    <x:mergeCell ref="B32:J32"/>
    <x:mergeCell ref="B33:J33"/>
    <x:mergeCell ref="B34:J34"/>
  </x:mergeCells>
  <x:pageMargins left="0.7" right="0.7" top="0.75" bottom="0.75" header="0.3" footer="0.3"/>
</x:worksheet>
</file>